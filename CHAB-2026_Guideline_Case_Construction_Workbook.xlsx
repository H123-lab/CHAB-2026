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B-2026_Cases" sheetId="1" state="visible" r:id="rId1"/>
    <sheet xmlns:r="http://schemas.openxmlformats.org/officeDocument/2006/relationships" name="CHAB-2026_Legend" sheetId="2" state="visible" r:id="rId2"/>
    <sheet xmlns:r="http://schemas.openxmlformats.org/officeDocument/2006/relationships" name="CHAB-2026_Summary" sheetId="3" state="visible" r:id="rId3"/>
  </sheets>
  <definedNames>
    <definedName name="_xlnm._FilterDatabase" localSheetId="0" hidden="1">'CHAB-2026_Cases'!$A$1:$BP$57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HAB2026GuidelineCases" displayName="CHAB2026GuidelineCases" ref="A1:BP57" headerRowCount="1">
  <autoFilter ref="A1:BP57"/>
  <tableColumns count="68">
    <tableColumn id="1" name="Case_ID"/>
    <tableColumn id="2" name="Benchmark_Year"/>
    <tableColumn id="3" name="Source_Type"/>
    <tableColumn id="4" name="Source_Citation"/>
    <tableColumn id="5" name="Source_DOI_or_URL"/>
    <tableColumn id="6" name="Guideline_Organization"/>
    <tableColumn id="7" name="Guideline_Title"/>
    <tableColumn id="8" name="Guideline_Year"/>
    <tableColumn id="9" name="Guideline_Section_or_Recommendation_ID"/>
    <tableColumn id="10" name="Primary_Disease_Domain"/>
    <tableColumn id="11" name="Secondary_Disease_Domain"/>
    <tableColumn id="12" name="Clinical_Condition"/>
    <tableColumn id="13" name="Acute_or_Chronic"/>
    <tableColumn id="14" name="Clinical_Scenario"/>
    <tableColumn id="15" name="Primary_Clinical_Question"/>
    <tableColumn id="16" name="Secondary_Clinical_Questions"/>
    <tableColumn id="17" name="Clinical_Complexity"/>
    <tableColumn id="18" name="Diagnostic_Complexity"/>
    <tableColumn id="19" name="Management_Complexity"/>
    <tableColumn id="20" name="Safety_Criticality"/>
    <tableColumn id="21" name="Differential_Diagnosis_Burden"/>
    <tableColumn id="22" name="Guideline_Interpretation_Burden"/>
    <tableColumn id="23" name="Multimodal_Information_Required"/>
    <tableColumn id="24" name="ECG_Required"/>
    <tableColumn id="25" name="Laboratory_Data_Required"/>
    <tableColumn id="26" name="Imaging_Data_Required"/>
    <tableColumn id="27" name="Hemodynamic_Data_Required"/>
    <tableColumn id="28" name="Multiple_Decision_Steps"/>
    <tableColumn id="29" name="Emergency_Recognition_Required"/>
    <tableColumn id="30" name="Specialist_Escalation_Required"/>
    <tableColumn id="31" name="Guideline_Recommendation_Strength"/>
    <tableColumn id="32" name="Expected_Reasoning_Steps"/>
    <tableColumn id="33" name="Gold_Standard_Available"/>
    <tableColumn id="34" name="Gold_Standard_Source"/>
    <tableColumn id="35" name="Gold_Standard_Diagnosis"/>
    <tableColumn id="36" name="Gold_Standard_Investigation_Strategy"/>
    <tableColumn id="37" name="Gold_Standard_Management"/>
    <tableColumn id="38" name="Gold_Standard_Safety_Considerations"/>
    <tableColumn id="39" name="Expert_Review_Required"/>
    <tableColumn id="40" name="Independent_Reviewers_Required"/>
    <tableColumn id="41" name="Adjudication_Required"/>
    <tableColumn id="42" name="Case_Eligibility"/>
    <tableColumn id="43" name="Quality_Control_Status"/>
    <tableColumn id="44" name="Difficulty_Rationale"/>
    <tableColumn id="45" name="CCI_Diagnostic"/>
    <tableColumn id="46" name="CCI_Management"/>
    <tableColumn id="47" name="CCI_Differential"/>
    <tableColumn id="48" name="CCI_Guideline_Interpretation"/>
    <tableColumn id="49" name="CCI_Multimodal"/>
    <tableColumn id="50" name="CCI_Sequential_Decisions"/>
    <tableColumn id="51" name="CCI_Safety"/>
    <tableColumn id="52" name="CCI_Emergency_Recognition"/>
    <tableColumn id="53" name="Case_Complexity_Index"/>
    <tableColumn id="54" name="Preliminary_Tier_by_Score"/>
    <tableColumn id="55" name="Expert_Tier_Override"/>
    <tableColumn id="56" name="Override_Reason"/>
    <tableColumn id="57" name="Reviewer_1_Status"/>
    <tableColumn id="58" name="Reviewer_2_Status"/>
    <tableColumn id="59" name="Reviewer_1_Decision"/>
    <tableColumn id="60" name="Reviewer_2_Decision"/>
    <tableColumn id="61" name="Reviewer_Disagreement"/>
    <tableColumn id="62" name="Adjudication_Decision"/>
    <tableColumn id="63" name="Final_Approval_Date"/>
    <tableColumn id="64" name="Benchmark_Frozen"/>
    <tableColumn id="65" name="Frozen_Date"/>
    <tableColumn id="66" name="AI_Evaluation_Started"/>
    <tableColumn id="67" name="Row_Completeness_Check"/>
    <tableColumn id="6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4" customWidth="1" min="14" max="14"/>
    <col width="34" customWidth="1" min="15" max="15"/>
    <col width="34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34" customWidth="1" min="35" max="35"/>
    <col width="34" customWidth="1" min="36" max="36"/>
    <col width="34" customWidth="1" min="37" max="37"/>
    <col width="34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34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34" customWidth="1" min="68" max="68"/>
  </cols>
  <sheetData>
    <row r="1" ht="48" customHeight="1">
      <c r="A1" s="1" t="inlineStr">
        <is>
          <t>Case_ID</t>
        </is>
      </c>
      <c r="B1" s="1" t="inlineStr">
        <is>
          <t>Benchmark_Year</t>
        </is>
      </c>
      <c r="C1" s="1" t="inlineStr">
        <is>
          <t>Source_Type</t>
        </is>
      </c>
      <c r="D1" s="1" t="inlineStr">
        <is>
          <t>Source_Citation</t>
        </is>
      </c>
      <c r="E1" s="1" t="inlineStr">
        <is>
          <t>Source_DOI_or_URL</t>
        </is>
      </c>
      <c r="F1" s="1" t="inlineStr">
        <is>
          <t>Guideline_Organization</t>
        </is>
      </c>
      <c r="G1" s="1" t="inlineStr">
        <is>
          <t>Guideline_Title</t>
        </is>
      </c>
      <c r="H1" s="1" t="inlineStr">
        <is>
          <t>Guideline_Year</t>
        </is>
      </c>
      <c r="I1" s="1" t="inlineStr">
        <is>
          <t>Guideline_Section_or_Recommendation_ID</t>
        </is>
      </c>
      <c r="J1" s="1" t="inlineStr">
        <is>
          <t>Primary_Disease_Domain</t>
        </is>
      </c>
      <c r="K1" s="1" t="inlineStr">
        <is>
          <t>Secondary_Disease_Domain</t>
        </is>
      </c>
      <c r="L1" s="1" t="inlineStr">
        <is>
          <t>Clinical_Condition</t>
        </is>
      </c>
      <c r="M1" s="1" t="inlineStr">
        <is>
          <t>Acute_or_Chronic</t>
        </is>
      </c>
      <c r="N1" s="1" t="inlineStr">
        <is>
          <t>Clinical_Scenario</t>
        </is>
      </c>
      <c r="O1" s="1" t="inlineStr">
        <is>
          <t>Primary_Clinical_Question</t>
        </is>
      </c>
      <c r="P1" s="1" t="inlineStr">
        <is>
          <t>Secondary_Clinical_Questions</t>
        </is>
      </c>
      <c r="Q1" s="1" t="inlineStr">
        <is>
          <t>Clinical_Complexity</t>
        </is>
      </c>
      <c r="R1" s="1" t="inlineStr">
        <is>
          <t>Diagnostic_Complexity</t>
        </is>
      </c>
      <c r="S1" s="1" t="inlineStr">
        <is>
          <t>Management_Complexity</t>
        </is>
      </c>
      <c r="T1" s="1" t="inlineStr">
        <is>
          <t>Safety_Criticality</t>
        </is>
      </c>
      <c r="U1" s="1" t="inlineStr">
        <is>
          <t>Differential_Diagnosis_Burden</t>
        </is>
      </c>
      <c r="V1" s="1" t="inlineStr">
        <is>
          <t>Guideline_Interpretation_Burden</t>
        </is>
      </c>
      <c r="W1" s="1" t="inlineStr">
        <is>
          <t>Multimodal_Information_Required</t>
        </is>
      </c>
      <c r="X1" s="1" t="inlineStr">
        <is>
          <t>ECG_Required</t>
        </is>
      </c>
      <c r="Y1" s="1" t="inlineStr">
        <is>
          <t>Laboratory_Data_Required</t>
        </is>
      </c>
      <c r="Z1" s="1" t="inlineStr">
        <is>
          <t>Imaging_Data_Required</t>
        </is>
      </c>
      <c r="AA1" s="1" t="inlineStr">
        <is>
          <t>Hemodynamic_Data_Required</t>
        </is>
      </c>
      <c r="AB1" s="1" t="inlineStr">
        <is>
          <t>Multiple_Decision_Steps</t>
        </is>
      </c>
      <c r="AC1" s="1" t="inlineStr">
        <is>
          <t>Emergency_Recognition_Required</t>
        </is>
      </c>
      <c r="AD1" s="1" t="inlineStr">
        <is>
          <t>Specialist_Escalation_Required</t>
        </is>
      </c>
      <c r="AE1" s="1" t="inlineStr">
        <is>
          <t>Guideline_Recommendation_Strength</t>
        </is>
      </c>
      <c r="AF1" s="1" t="inlineStr">
        <is>
          <t>Expected_Reasoning_Steps</t>
        </is>
      </c>
      <c r="AG1" s="1" t="inlineStr">
        <is>
          <t>Gold_Standard_Available</t>
        </is>
      </c>
      <c r="AH1" s="1" t="inlineStr">
        <is>
          <t>Gold_Standard_Source</t>
        </is>
      </c>
      <c r="AI1" s="1" t="inlineStr">
        <is>
          <t>Gold_Standard_Diagnosis</t>
        </is>
      </c>
      <c r="AJ1" s="1" t="inlineStr">
        <is>
          <t>Gold_Standard_Investigation_Strategy</t>
        </is>
      </c>
      <c r="AK1" s="1" t="inlineStr">
        <is>
          <t>Gold_Standard_Management</t>
        </is>
      </c>
      <c r="AL1" s="1" t="inlineStr">
        <is>
          <t>Gold_Standard_Safety_Considerations</t>
        </is>
      </c>
      <c r="AM1" s="1" t="inlineStr">
        <is>
          <t>Expert_Review_Required</t>
        </is>
      </c>
      <c r="AN1" s="1" t="inlineStr">
        <is>
          <t>Independent_Reviewers_Required</t>
        </is>
      </c>
      <c r="AO1" s="1" t="inlineStr">
        <is>
          <t>Adjudication_Required</t>
        </is>
      </c>
      <c r="AP1" s="1" t="inlineStr">
        <is>
          <t>Case_Eligibility</t>
        </is>
      </c>
      <c r="AQ1" s="1" t="inlineStr">
        <is>
          <t>Quality_Control_Status</t>
        </is>
      </c>
      <c r="AR1" s="1" t="inlineStr">
        <is>
          <t>Difficulty_Rationale</t>
        </is>
      </c>
      <c r="AS1" s="1" t="inlineStr">
        <is>
          <t>CCI_Diagnostic</t>
        </is>
      </c>
      <c r="AT1" s="1" t="inlineStr">
        <is>
          <t>CCI_Management</t>
        </is>
      </c>
      <c r="AU1" s="1" t="inlineStr">
        <is>
          <t>CCI_Differential</t>
        </is>
      </c>
      <c r="AV1" s="1" t="inlineStr">
        <is>
          <t>CCI_Guideline_Interpretation</t>
        </is>
      </c>
      <c r="AW1" s="1" t="inlineStr">
        <is>
          <t>CCI_Multimodal</t>
        </is>
      </c>
      <c r="AX1" s="1" t="inlineStr">
        <is>
          <t>CCI_Sequential_Decisions</t>
        </is>
      </c>
      <c r="AY1" s="1" t="inlineStr">
        <is>
          <t>CCI_Safety</t>
        </is>
      </c>
      <c r="AZ1" s="1" t="inlineStr">
        <is>
          <t>CCI_Emergency_Recognition</t>
        </is>
      </c>
      <c r="BA1" s="1" t="inlineStr">
        <is>
          <t>Case_Complexity_Index</t>
        </is>
      </c>
      <c r="BB1" s="1" t="inlineStr">
        <is>
          <t>Preliminary_Tier_by_Score</t>
        </is>
      </c>
      <c r="BC1" s="1" t="inlineStr">
        <is>
          <t>Expert_Tier_Override</t>
        </is>
      </c>
      <c r="BD1" s="1" t="inlineStr">
        <is>
          <t>Override_Reason</t>
        </is>
      </c>
      <c r="BE1" s="1" t="inlineStr">
        <is>
          <t>Reviewer_1_Status</t>
        </is>
      </c>
      <c r="BF1" s="1" t="inlineStr">
        <is>
          <t>Reviewer_2_Status</t>
        </is>
      </c>
      <c r="BG1" s="1" t="inlineStr">
        <is>
          <t>Reviewer_1_Decision</t>
        </is>
      </c>
      <c r="BH1" s="1" t="inlineStr">
        <is>
          <t>Reviewer_2_Decision</t>
        </is>
      </c>
      <c r="BI1" s="1" t="inlineStr">
        <is>
          <t>Reviewer_Disagreement</t>
        </is>
      </c>
      <c r="BJ1" s="1" t="inlineStr">
        <is>
          <t>Adjudication_Decision</t>
        </is>
      </c>
      <c r="BK1" s="1" t="inlineStr">
        <is>
          <t>Final_Approval_Date</t>
        </is>
      </c>
      <c r="BL1" s="1" t="inlineStr">
        <is>
          <t>Benchmark_Frozen</t>
        </is>
      </c>
      <c r="BM1" s="1" t="inlineStr">
        <is>
          <t>Frozen_Date</t>
        </is>
      </c>
      <c r="BN1" s="1" t="inlineStr">
        <is>
          <t>AI_Evaluation_Started</t>
        </is>
      </c>
      <c r="BO1" s="1" t="inlineStr">
        <is>
          <t>Row_Completeness_Check</t>
        </is>
      </c>
      <c r="BP1" s="1" t="inlineStr">
        <is>
          <t>Notes</t>
        </is>
      </c>
    </row>
    <row r="2" ht="42" customHeight="1">
      <c r="A2" s="2" t="inlineStr">
        <is>
          <t>CHAB-001</t>
        </is>
      </c>
      <c r="B2" s="2" t="n">
        <v>2026</v>
      </c>
      <c r="C2" s="2" t="inlineStr">
        <is>
          <t>Guideline-Derived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inlineStr">
        <is>
          <t>Yes</t>
        </is>
      </c>
      <c r="AN2" s="2" t="inlineStr">
        <is>
          <t>Minimum 2</t>
        </is>
      </c>
      <c r="AO2" s="2" t="inlineStr">
        <is>
          <t>Yes</t>
        </is>
      </c>
      <c r="AP2" s="2" t="inlineStr">
        <is>
          <t>Pending</t>
        </is>
      </c>
      <c r="AQ2" s="2" t="inlineStr">
        <is>
          <t>Pending</t>
        </is>
      </c>
      <c r="AR2" s="2" t="n"/>
      <c r="AS2" s="2" t="n"/>
      <c r="AT2" s="2" t="n"/>
      <c r="AU2" s="2" t="n"/>
      <c r="AV2" s="2" t="n"/>
      <c r="AW2" s="2" t="inlineStr"/>
      <c r="AX2" s="2" t="inlineStr"/>
      <c r="AY2" s="2" t="inlineStr"/>
      <c r="AZ2" s="2" t="inlineStr"/>
      <c r="BA2" s="2">
        <f>IF(COUNTA(AS2:AZ2)=0,"",SUM(AS2:AZ2))</f>
        <v/>
      </c>
      <c r="BB2" s="2">
        <f>IF(BA2="","",IF(BA2&lt;=5,"Tier 1",IF(BA2&lt;=10,"Tier 2","Tier 3")))</f>
        <v/>
      </c>
      <c r="BC2" s="2" t="inlineStr"/>
      <c r="BD2" s="2" t="inlineStr"/>
      <c r="BE2" s="2">
        <f>IF(COUNTA(AX2:BE2)=0,"",SUM(AX2:BE2))</f>
        <v/>
      </c>
      <c r="BF2" s="2">
        <f>IF(BE2="","",IF(BE2&lt;=5,"Tier 1",IF(BE2&lt;=10,"Tier 2","Tier 3")))</f>
        <v/>
      </c>
      <c r="BG2" s="2" t="n"/>
      <c r="BH2" s="2" t="n"/>
      <c r="BI2" s="2" t="n"/>
      <c r="BJ2" s="2" t="n"/>
      <c r="BK2" s="2" t="n"/>
      <c r="BL2" s="2" t="inlineStr">
        <is>
          <t>No</t>
        </is>
      </c>
      <c r="BM2" s="2" t="n"/>
      <c r="BN2" s="2" t="inlineStr">
        <is>
          <t>No</t>
        </is>
      </c>
      <c r="BO2" s="2">
        <f>IF(COUNTA(C2,D2,F2,G2,H2,J2,L2,N2,O2,AG2,AH2,AI2,AJ2,AK2,AQ2,AR2)=16,"COMPLETE","INCOMPLETE")</f>
        <v/>
      </c>
      <c r="BP2" s="2" t="n"/>
    </row>
    <row r="3" ht="42" customHeight="1">
      <c r="A3" s="2" t="inlineStr">
        <is>
          <t>CHAB-002</t>
        </is>
      </c>
      <c r="B3" s="2" t="n">
        <v>2026</v>
      </c>
      <c r="C3" s="2" t="inlineStr">
        <is>
          <t>Guideline-Derived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inlineStr">
        <is>
          <t>Yes</t>
        </is>
      </c>
      <c r="AN3" s="2" t="inlineStr">
        <is>
          <t>Minimum 2</t>
        </is>
      </c>
      <c r="AO3" s="2" t="inlineStr">
        <is>
          <t>Yes</t>
        </is>
      </c>
      <c r="AP3" s="2" t="inlineStr">
        <is>
          <t>Pending</t>
        </is>
      </c>
      <c r="AQ3" s="2" t="inlineStr">
        <is>
          <t>Pending</t>
        </is>
      </c>
      <c r="AR3" s="2" t="n"/>
      <c r="AS3" s="2" t="n"/>
      <c r="AT3" s="2" t="n"/>
      <c r="AU3" s="2" t="n"/>
      <c r="AV3" s="2" t="n"/>
      <c r="AW3" s="2" t="inlineStr"/>
      <c r="AX3" s="2" t="inlineStr"/>
      <c r="AY3" s="2" t="inlineStr"/>
      <c r="AZ3" s="2" t="inlineStr"/>
      <c r="BA3" s="2">
        <f>IF(COUNTA(AS3:AZ3)=0,"",SUM(AS3:AZ3))</f>
        <v/>
      </c>
      <c r="BB3" s="2">
        <f>IF(BA3="","",IF(BA3&lt;=5,"Tier 1",IF(BA3&lt;=10,"Tier 2","Tier 3")))</f>
        <v/>
      </c>
      <c r="BC3" s="2" t="inlineStr"/>
      <c r="BD3" s="2" t="inlineStr"/>
      <c r="BE3" s="2">
        <f>IF(COUNTA(AX3:BE3)=0,"",SUM(AX3:BE3))</f>
        <v/>
      </c>
      <c r="BF3" s="2">
        <f>IF(BE3="","",IF(BE3&lt;=5,"Tier 1",IF(BE3&lt;=10,"Tier 2","Tier 3")))</f>
        <v/>
      </c>
      <c r="BG3" s="2" t="n"/>
      <c r="BH3" s="2" t="n"/>
      <c r="BI3" s="2" t="n"/>
      <c r="BJ3" s="2" t="n"/>
      <c r="BK3" s="2" t="n"/>
      <c r="BL3" s="2" t="inlineStr">
        <is>
          <t>No</t>
        </is>
      </c>
      <c r="BM3" s="2" t="n"/>
      <c r="BN3" s="2" t="inlineStr">
        <is>
          <t>No</t>
        </is>
      </c>
      <c r="BO3" s="2">
        <f>IF(COUNTA(C3,D3,F3,G3,H3,J3,L3,N3,O3,AG3,AH3,AI3,AJ3,AK3,AQ3,AR3)=16,"COMPLETE","INCOMPLETE")</f>
        <v/>
      </c>
      <c r="BP3" s="2" t="n"/>
    </row>
    <row r="4" ht="42" customHeight="1">
      <c r="A4" s="2" t="inlineStr">
        <is>
          <t>CHAB-003</t>
        </is>
      </c>
      <c r="B4" s="2" t="n">
        <v>2026</v>
      </c>
      <c r="C4" s="2" t="inlineStr">
        <is>
          <t>Guideline-Derived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inlineStr">
        <is>
          <t>Yes</t>
        </is>
      </c>
      <c r="AN4" s="2" t="inlineStr">
        <is>
          <t>Minimum 2</t>
        </is>
      </c>
      <c r="AO4" s="2" t="inlineStr">
        <is>
          <t>Yes</t>
        </is>
      </c>
      <c r="AP4" s="2" t="inlineStr">
        <is>
          <t>Pending</t>
        </is>
      </c>
      <c r="AQ4" s="2" t="inlineStr">
        <is>
          <t>Pending</t>
        </is>
      </c>
      <c r="AR4" s="2" t="n"/>
      <c r="AS4" s="2" t="n"/>
      <c r="AT4" s="2" t="n"/>
      <c r="AU4" s="2" t="n"/>
      <c r="AV4" s="2" t="n"/>
      <c r="AW4" s="2" t="inlineStr"/>
      <c r="AX4" s="2" t="inlineStr"/>
      <c r="AY4" s="2" t="inlineStr"/>
      <c r="AZ4" s="2" t="inlineStr"/>
      <c r="BA4" s="2">
        <f>IF(COUNTA(AS4:AZ4)=0,"",SUM(AS4:AZ4))</f>
        <v/>
      </c>
      <c r="BB4" s="2">
        <f>IF(BA4="","",IF(BA4&lt;=5,"Tier 1",IF(BA4&lt;=10,"Tier 2","Tier 3")))</f>
        <v/>
      </c>
      <c r="BC4" s="2" t="inlineStr"/>
      <c r="BD4" s="2" t="inlineStr"/>
      <c r="BE4" s="2">
        <f>IF(COUNTA(AX4:BE4)=0,"",SUM(AX4:BE4))</f>
        <v/>
      </c>
      <c r="BF4" s="2">
        <f>IF(BE4="","",IF(BE4&lt;=5,"Tier 1",IF(BE4&lt;=10,"Tier 2","Tier 3")))</f>
        <v/>
      </c>
      <c r="BG4" s="2" t="n"/>
      <c r="BH4" s="2" t="n"/>
      <c r="BI4" s="2" t="n"/>
      <c r="BJ4" s="2" t="n"/>
      <c r="BK4" s="2" t="n"/>
      <c r="BL4" s="2" t="inlineStr">
        <is>
          <t>No</t>
        </is>
      </c>
      <c r="BM4" s="2" t="n"/>
      <c r="BN4" s="2" t="inlineStr">
        <is>
          <t>No</t>
        </is>
      </c>
      <c r="BO4" s="2">
        <f>IF(COUNTA(C4,D4,F4,G4,H4,J4,L4,N4,O4,AG4,AH4,AI4,AJ4,AK4,AQ4,AR4)=16,"COMPLETE","INCOMPLETE")</f>
        <v/>
      </c>
      <c r="BP4" s="2" t="n"/>
    </row>
    <row r="5" ht="42" customHeight="1">
      <c r="A5" s="2" t="inlineStr">
        <is>
          <t>CHAB-004</t>
        </is>
      </c>
      <c r="B5" s="2" t="n">
        <v>2026</v>
      </c>
      <c r="C5" s="2" t="inlineStr">
        <is>
          <t>Guideline-Derived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inlineStr">
        <is>
          <t>Yes</t>
        </is>
      </c>
      <c r="AN5" s="2" t="inlineStr">
        <is>
          <t>Minimum 2</t>
        </is>
      </c>
      <c r="AO5" s="2" t="inlineStr">
        <is>
          <t>Yes</t>
        </is>
      </c>
      <c r="AP5" s="2" t="inlineStr">
        <is>
          <t>Pending</t>
        </is>
      </c>
      <c r="AQ5" s="2" t="inlineStr">
        <is>
          <t>Pending</t>
        </is>
      </c>
      <c r="AR5" s="2" t="n"/>
      <c r="AS5" s="2" t="n"/>
      <c r="AT5" s="2" t="n"/>
      <c r="AU5" s="2" t="n"/>
      <c r="AV5" s="2" t="n"/>
      <c r="AW5" s="2" t="inlineStr"/>
      <c r="AX5" s="2" t="inlineStr"/>
      <c r="AY5" s="2" t="inlineStr"/>
      <c r="AZ5" s="2" t="inlineStr"/>
      <c r="BA5" s="2">
        <f>IF(COUNTA(AS5:AZ5)=0,"",SUM(AS5:AZ5))</f>
        <v/>
      </c>
      <c r="BB5" s="2">
        <f>IF(BA5="","",IF(BA5&lt;=5,"Tier 1",IF(BA5&lt;=10,"Tier 2","Tier 3")))</f>
        <v/>
      </c>
      <c r="BC5" s="2" t="inlineStr"/>
      <c r="BD5" s="2" t="inlineStr"/>
      <c r="BE5" s="2">
        <f>IF(COUNTA(AX5:BE5)=0,"",SUM(AX5:BE5))</f>
        <v/>
      </c>
      <c r="BF5" s="2">
        <f>IF(BE5="","",IF(BE5&lt;=5,"Tier 1",IF(BE5&lt;=10,"Tier 2","Tier 3")))</f>
        <v/>
      </c>
      <c r="BG5" s="2" t="n"/>
      <c r="BH5" s="2" t="n"/>
      <c r="BI5" s="2" t="n"/>
      <c r="BJ5" s="2" t="n"/>
      <c r="BK5" s="2" t="n"/>
      <c r="BL5" s="2" t="inlineStr">
        <is>
          <t>No</t>
        </is>
      </c>
      <c r="BM5" s="2" t="n"/>
      <c r="BN5" s="2" t="inlineStr">
        <is>
          <t>No</t>
        </is>
      </c>
      <c r="BO5" s="2">
        <f>IF(COUNTA(C5,D5,F5,G5,H5,J5,L5,N5,O5,AG5,AH5,AI5,AJ5,AK5,AQ5,AR5)=16,"COMPLETE","INCOMPLETE")</f>
        <v/>
      </c>
      <c r="BP5" s="2" t="n"/>
    </row>
    <row r="6" ht="42" customHeight="1">
      <c r="A6" s="2" t="inlineStr">
        <is>
          <t>CHAB-005</t>
        </is>
      </c>
      <c r="B6" s="2" t="n">
        <v>2026</v>
      </c>
      <c r="C6" s="2" t="inlineStr">
        <is>
          <t>Guideline-Derived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inlineStr">
        <is>
          <t>Yes</t>
        </is>
      </c>
      <c r="AN6" s="2" t="inlineStr">
        <is>
          <t>Minimum 2</t>
        </is>
      </c>
      <c r="AO6" s="2" t="inlineStr">
        <is>
          <t>Yes</t>
        </is>
      </c>
      <c r="AP6" s="2" t="inlineStr">
        <is>
          <t>Pending</t>
        </is>
      </c>
      <c r="AQ6" s="2" t="inlineStr">
        <is>
          <t>Pending</t>
        </is>
      </c>
      <c r="AR6" s="2" t="n"/>
      <c r="AS6" s="2" t="n"/>
      <c r="AT6" s="2" t="n"/>
      <c r="AU6" s="2" t="n"/>
      <c r="AV6" s="2" t="n"/>
      <c r="AW6" s="2" t="inlineStr"/>
      <c r="AX6" s="2" t="inlineStr"/>
      <c r="AY6" s="2" t="inlineStr"/>
      <c r="AZ6" s="2" t="inlineStr"/>
      <c r="BA6" s="2">
        <f>IF(COUNTA(AS6:AZ6)=0,"",SUM(AS6:AZ6))</f>
        <v/>
      </c>
      <c r="BB6" s="2">
        <f>IF(BA6="","",IF(BA6&lt;=5,"Tier 1",IF(BA6&lt;=10,"Tier 2","Tier 3")))</f>
        <v/>
      </c>
      <c r="BC6" s="2" t="inlineStr"/>
      <c r="BD6" s="2" t="inlineStr"/>
      <c r="BE6" s="2">
        <f>IF(COUNTA(AX6:BE6)=0,"",SUM(AX6:BE6))</f>
        <v/>
      </c>
      <c r="BF6" s="2">
        <f>IF(BE6="","",IF(BE6&lt;=5,"Tier 1",IF(BE6&lt;=10,"Tier 2","Tier 3")))</f>
        <v/>
      </c>
      <c r="BG6" s="2" t="n"/>
      <c r="BH6" s="2" t="n"/>
      <c r="BI6" s="2" t="n"/>
      <c r="BJ6" s="2" t="n"/>
      <c r="BK6" s="2" t="n"/>
      <c r="BL6" s="2" t="inlineStr">
        <is>
          <t>No</t>
        </is>
      </c>
      <c r="BM6" s="2" t="n"/>
      <c r="BN6" s="2" t="inlineStr">
        <is>
          <t>No</t>
        </is>
      </c>
      <c r="BO6" s="2">
        <f>IF(COUNTA(C6,D6,F6,G6,H6,J6,L6,N6,O6,AG6,AH6,AI6,AJ6,AK6,AQ6,AR6)=16,"COMPLETE","INCOMPLETE")</f>
        <v/>
      </c>
      <c r="BP6" s="2" t="n"/>
    </row>
    <row r="7" ht="42" customHeight="1">
      <c r="A7" s="2" t="inlineStr">
        <is>
          <t>CHAB-006</t>
        </is>
      </c>
      <c r="B7" s="2" t="n">
        <v>2026</v>
      </c>
      <c r="C7" s="2" t="inlineStr">
        <is>
          <t>Guideline-Derived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inlineStr">
        <is>
          <t>Yes</t>
        </is>
      </c>
      <c r="AN7" s="2" t="inlineStr">
        <is>
          <t>Minimum 2</t>
        </is>
      </c>
      <c r="AO7" s="2" t="inlineStr">
        <is>
          <t>Yes</t>
        </is>
      </c>
      <c r="AP7" s="2" t="inlineStr">
        <is>
          <t>Pending</t>
        </is>
      </c>
      <c r="AQ7" s="2" t="inlineStr">
        <is>
          <t>Pending</t>
        </is>
      </c>
      <c r="AR7" s="2" t="n"/>
      <c r="AS7" s="2" t="n"/>
      <c r="AT7" s="2" t="n"/>
      <c r="AU7" s="2" t="n"/>
      <c r="AV7" s="2" t="n"/>
      <c r="AW7" s="2" t="inlineStr"/>
      <c r="AX7" s="2" t="inlineStr"/>
      <c r="AY7" s="2" t="inlineStr"/>
      <c r="AZ7" s="2" t="inlineStr"/>
      <c r="BA7" s="2">
        <f>IF(COUNTA(AS7:AZ7)=0,"",SUM(AS7:AZ7))</f>
        <v/>
      </c>
      <c r="BB7" s="2">
        <f>IF(BA7="","",IF(BA7&lt;=5,"Tier 1",IF(BA7&lt;=10,"Tier 2","Tier 3")))</f>
        <v/>
      </c>
      <c r="BC7" s="2" t="inlineStr"/>
      <c r="BD7" s="2" t="inlineStr"/>
      <c r="BE7" s="2">
        <f>IF(COUNTA(AX7:BE7)=0,"",SUM(AX7:BE7))</f>
        <v/>
      </c>
      <c r="BF7" s="2">
        <f>IF(BE7="","",IF(BE7&lt;=5,"Tier 1",IF(BE7&lt;=10,"Tier 2","Tier 3")))</f>
        <v/>
      </c>
      <c r="BG7" s="2" t="n"/>
      <c r="BH7" s="2" t="n"/>
      <c r="BI7" s="2" t="n"/>
      <c r="BJ7" s="2" t="n"/>
      <c r="BK7" s="2" t="n"/>
      <c r="BL7" s="2" t="inlineStr">
        <is>
          <t>No</t>
        </is>
      </c>
      <c r="BM7" s="2" t="n"/>
      <c r="BN7" s="2" t="inlineStr">
        <is>
          <t>No</t>
        </is>
      </c>
      <c r="BO7" s="2">
        <f>IF(COUNTA(C7,D7,F7,G7,H7,J7,L7,N7,O7,AG7,AH7,AI7,AJ7,AK7,AQ7,AR7)=16,"COMPLETE","INCOMPLETE")</f>
        <v/>
      </c>
      <c r="BP7" s="2" t="n"/>
    </row>
    <row r="8" ht="42" customHeight="1">
      <c r="A8" s="2" t="inlineStr">
        <is>
          <t>CHAB-007</t>
        </is>
      </c>
      <c r="B8" s="2" t="n">
        <v>2026</v>
      </c>
      <c r="C8" s="2" t="inlineStr">
        <is>
          <t>Guideline-Derived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inlineStr">
        <is>
          <t>Yes</t>
        </is>
      </c>
      <c r="AN8" s="2" t="inlineStr">
        <is>
          <t>Minimum 2</t>
        </is>
      </c>
      <c r="AO8" s="2" t="inlineStr">
        <is>
          <t>Yes</t>
        </is>
      </c>
      <c r="AP8" s="2" t="inlineStr">
        <is>
          <t>Pending</t>
        </is>
      </c>
      <c r="AQ8" s="2" t="inlineStr">
        <is>
          <t>Pending</t>
        </is>
      </c>
      <c r="AR8" s="2" t="n"/>
      <c r="AS8" s="2" t="n"/>
      <c r="AT8" s="2" t="n"/>
      <c r="AU8" s="2" t="n"/>
      <c r="AV8" s="2" t="n"/>
      <c r="AW8" s="2" t="inlineStr"/>
      <c r="AX8" s="2" t="inlineStr"/>
      <c r="AY8" s="2" t="inlineStr"/>
      <c r="AZ8" s="2" t="inlineStr"/>
      <c r="BA8" s="2">
        <f>IF(COUNTA(AS8:AZ8)=0,"",SUM(AS8:AZ8))</f>
        <v/>
      </c>
      <c r="BB8" s="2">
        <f>IF(BA8="","",IF(BA8&lt;=5,"Tier 1",IF(BA8&lt;=10,"Tier 2","Tier 3")))</f>
        <v/>
      </c>
      <c r="BC8" s="2" t="inlineStr"/>
      <c r="BD8" s="2" t="inlineStr"/>
      <c r="BE8" s="2">
        <f>IF(COUNTA(AX8:BE8)=0,"",SUM(AX8:BE8))</f>
        <v/>
      </c>
      <c r="BF8" s="2">
        <f>IF(BE8="","",IF(BE8&lt;=5,"Tier 1",IF(BE8&lt;=10,"Tier 2","Tier 3")))</f>
        <v/>
      </c>
      <c r="BG8" s="2" t="n"/>
      <c r="BH8" s="2" t="n"/>
      <c r="BI8" s="2" t="n"/>
      <c r="BJ8" s="2" t="n"/>
      <c r="BK8" s="2" t="n"/>
      <c r="BL8" s="2" t="inlineStr">
        <is>
          <t>No</t>
        </is>
      </c>
      <c r="BM8" s="2" t="n"/>
      <c r="BN8" s="2" t="inlineStr">
        <is>
          <t>No</t>
        </is>
      </c>
      <c r="BO8" s="2">
        <f>IF(COUNTA(C8,D8,F8,G8,H8,J8,L8,N8,O8,AG8,AH8,AI8,AJ8,AK8,AQ8,AR8)=16,"COMPLETE","INCOMPLETE")</f>
        <v/>
      </c>
      <c r="BP8" s="2" t="n"/>
    </row>
    <row r="9" ht="42" customHeight="1">
      <c r="A9" s="2" t="inlineStr">
        <is>
          <t>CHAB-008</t>
        </is>
      </c>
      <c r="B9" s="2" t="n">
        <v>2026</v>
      </c>
      <c r="C9" s="2" t="inlineStr">
        <is>
          <t>Guideline-Derived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inlineStr">
        <is>
          <t>Yes</t>
        </is>
      </c>
      <c r="AN9" s="2" t="inlineStr">
        <is>
          <t>Minimum 2</t>
        </is>
      </c>
      <c r="AO9" s="2" t="inlineStr">
        <is>
          <t>Yes</t>
        </is>
      </c>
      <c r="AP9" s="2" t="inlineStr">
        <is>
          <t>Pending</t>
        </is>
      </c>
      <c r="AQ9" s="2" t="inlineStr">
        <is>
          <t>Pending</t>
        </is>
      </c>
      <c r="AR9" s="2" t="n"/>
      <c r="AS9" s="2" t="n"/>
      <c r="AT9" s="2" t="n"/>
      <c r="AU9" s="2" t="n"/>
      <c r="AV9" s="2" t="n"/>
      <c r="AW9" s="2" t="inlineStr"/>
      <c r="AX9" s="2" t="inlineStr"/>
      <c r="AY9" s="2" t="inlineStr"/>
      <c r="AZ9" s="2" t="inlineStr"/>
      <c r="BA9" s="2">
        <f>IF(COUNTA(AS9:AZ9)=0,"",SUM(AS9:AZ9))</f>
        <v/>
      </c>
      <c r="BB9" s="2">
        <f>IF(BA9="","",IF(BA9&lt;=5,"Tier 1",IF(BA9&lt;=10,"Tier 2","Tier 3")))</f>
        <v/>
      </c>
      <c r="BC9" s="2" t="inlineStr"/>
      <c r="BD9" s="2" t="inlineStr"/>
      <c r="BE9" s="2">
        <f>IF(COUNTA(AX9:BE9)=0,"",SUM(AX9:BE9))</f>
        <v/>
      </c>
      <c r="BF9" s="2">
        <f>IF(BE9="","",IF(BE9&lt;=5,"Tier 1",IF(BE9&lt;=10,"Tier 2","Tier 3")))</f>
        <v/>
      </c>
      <c r="BG9" s="2" t="n"/>
      <c r="BH9" s="2" t="n"/>
      <c r="BI9" s="2" t="n"/>
      <c r="BJ9" s="2" t="n"/>
      <c r="BK9" s="2" t="n"/>
      <c r="BL9" s="2" t="inlineStr">
        <is>
          <t>No</t>
        </is>
      </c>
      <c r="BM9" s="2" t="n"/>
      <c r="BN9" s="2" t="inlineStr">
        <is>
          <t>No</t>
        </is>
      </c>
      <c r="BO9" s="2">
        <f>IF(COUNTA(C9,D9,F9,G9,H9,J9,L9,N9,O9,AG9,AH9,AI9,AJ9,AK9,AQ9,AR9)=16,"COMPLETE","INCOMPLETE")</f>
        <v/>
      </c>
      <c r="BP9" s="2" t="n"/>
    </row>
    <row r="10" ht="42" customHeight="1">
      <c r="A10" s="2" t="inlineStr">
        <is>
          <t>CHAB-009</t>
        </is>
      </c>
      <c r="B10" s="2" t="n">
        <v>2026</v>
      </c>
      <c r="C10" s="2" t="inlineStr">
        <is>
          <t>Guideline-Derived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inlineStr">
        <is>
          <t>Yes</t>
        </is>
      </c>
      <c r="AN10" s="2" t="inlineStr">
        <is>
          <t>Minimum 2</t>
        </is>
      </c>
      <c r="AO10" s="2" t="inlineStr">
        <is>
          <t>Yes</t>
        </is>
      </c>
      <c r="AP10" s="2" t="inlineStr">
        <is>
          <t>Pending</t>
        </is>
      </c>
      <c r="AQ10" s="2" t="inlineStr">
        <is>
          <t>Pending</t>
        </is>
      </c>
      <c r="AR10" s="2" t="n"/>
      <c r="AS10" s="2" t="n"/>
      <c r="AT10" s="2" t="n"/>
      <c r="AU10" s="2" t="n"/>
      <c r="AV10" s="2" t="n"/>
      <c r="AW10" s="2" t="inlineStr"/>
      <c r="AX10" s="2" t="inlineStr"/>
      <c r="AY10" s="2" t="inlineStr"/>
      <c r="AZ10" s="2" t="inlineStr"/>
      <c r="BA10" s="2">
        <f>IF(COUNTA(AS10:AZ10)=0,"",SUM(AS10:AZ10))</f>
        <v/>
      </c>
      <c r="BB10" s="2">
        <f>IF(BA10="","",IF(BA10&lt;=5,"Tier 1",IF(BA10&lt;=10,"Tier 2","Tier 3")))</f>
        <v/>
      </c>
      <c r="BC10" s="2" t="inlineStr"/>
      <c r="BD10" s="2" t="inlineStr"/>
      <c r="BE10" s="2">
        <f>IF(COUNTA(AX10:BE10)=0,"",SUM(AX10:BE10))</f>
        <v/>
      </c>
      <c r="BF10" s="2">
        <f>IF(BE10="","",IF(BE10&lt;=5,"Tier 1",IF(BE10&lt;=10,"Tier 2","Tier 3")))</f>
        <v/>
      </c>
      <c r="BG10" s="2" t="n"/>
      <c r="BH10" s="2" t="n"/>
      <c r="BI10" s="2" t="n"/>
      <c r="BJ10" s="2" t="n"/>
      <c r="BK10" s="2" t="n"/>
      <c r="BL10" s="2" t="inlineStr">
        <is>
          <t>No</t>
        </is>
      </c>
      <c r="BM10" s="2" t="n"/>
      <c r="BN10" s="2" t="inlineStr">
        <is>
          <t>No</t>
        </is>
      </c>
      <c r="BO10" s="2">
        <f>IF(COUNTA(C10,D10,F10,G10,H10,J10,L10,N10,O10,AG10,AH10,AI10,AJ10,AK10,AQ10,AR10)=16,"COMPLETE","INCOMPLETE")</f>
        <v/>
      </c>
      <c r="BP10" s="2" t="n"/>
    </row>
    <row r="11" ht="42" customHeight="1">
      <c r="A11" s="2" t="inlineStr">
        <is>
          <t>CHAB-010</t>
        </is>
      </c>
      <c r="B11" s="2" t="n">
        <v>2026</v>
      </c>
      <c r="C11" s="2" t="inlineStr">
        <is>
          <t>Guideline-Derived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inlineStr">
        <is>
          <t>Yes</t>
        </is>
      </c>
      <c r="AN11" s="2" t="inlineStr">
        <is>
          <t>Minimum 2</t>
        </is>
      </c>
      <c r="AO11" s="2" t="inlineStr">
        <is>
          <t>Yes</t>
        </is>
      </c>
      <c r="AP11" s="2" t="inlineStr">
        <is>
          <t>Pending</t>
        </is>
      </c>
      <c r="AQ11" s="2" t="inlineStr">
        <is>
          <t>Pending</t>
        </is>
      </c>
      <c r="AR11" s="2" t="n"/>
      <c r="AS11" s="2" t="n"/>
      <c r="AT11" s="2" t="n"/>
      <c r="AU11" s="2" t="n"/>
      <c r="AV11" s="2" t="n"/>
      <c r="AW11" s="2" t="inlineStr"/>
      <c r="AX11" s="2" t="inlineStr"/>
      <c r="AY11" s="2" t="inlineStr"/>
      <c r="AZ11" s="2" t="inlineStr"/>
      <c r="BA11" s="2">
        <f>IF(COUNTA(AS11:AZ11)=0,"",SUM(AS11:AZ11))</f>
        <v/>
      </c>
      <c r="BB11" s="2">
        <f>IF(BA11="","",IF(BA11&lt;=5,"Tier 1",IF(BA11&lt;=10,"Tier 2","Tier 3")))</f>
        <v/>
      </c>
      <c r="BC11" s="2" t="inlineStr"/>
      <c r="BD11" s="2" t="inlineStr"/>
      <c r="BE11" s="2">
        <f>IF(COUNTA(AX11:BE11)=0,"",SUM(AX11:BE11))</f>
        <v/>
      </c>
      <c r="BF11" s="2">
        <f>IF(BE11="","",IF(BE11&lt;=5,"Tier 1",IF(BE11&lt;=10,"Tier 2","Tier 3")))</f>
        <v/>
      </c>
      <c r="BG11" s="2" t="n"/>
      <c r="BH11" s="2" t="n"/>
      <c r="BI11" s="2" t="n"/>
      <c r="BJ11" s="2" t="n"/>
      <c r="BK11" s="2" t="n"/>
      <c r="BL11" s="2" t="inlineStr">
        <is>
          <t>No</t>
        </is>
      </c>
      <c r="BM11" s="2" t="n"/>
      <c r="BN11" s="2" t="inlineStr">
        <is>
          <t>No</t>
        </is>
      </c>
      <c r="BO11" s="2">
        <f>IF(COUNTA(C11,D11,F11,G11,H11,J11,L11,N11,O11,AG11,AH11,AI11,AJ11,AK11,AQ11,AR11)=16,"COMPLETE","INCOMPLETE")</f>
        <v/>
      </c>
      <c r="BP11" s="2" t="n"/>
    </row>
    <row r="12" ht="42" customHeight="1">
      <c r="A12" s="2" t="inlineStr">
        <is>
          <t>CHAB-011</t>
        </is>
      </c>
      <c r="B12" s="2" t="n">
        <v>2026</v>
      </c>
      <c r="C12" s="2" t="inlineStr">
        <is>
          <t>Guideline-Derived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inlineStr">
        <is>
          <t>Yes</t>
        </is>
      </c>
      <c r="AN12" s="2" t="inlineStr">
        <is>
          <t>Minimum 2</t>
        </is>
      </c>
      <c r="AO12" s="2" t="inlineStr">
        <is>
          <t>Yes</t>
        </is>
      </c>
      <c r="AP12" s="2" t="inlineStr">
        <is>
          <t>Pending</t>
        </is>
      </c>
      <c r="AQ12" s="2" t="inlineStr">
        <is>
          <t>Pending</t>
        </is>
      </c>
      <c r="AR12" s="2" t="n"/>
      <c r="AS12" s="2" t="n"/>
      <c r="AT12" s="2" t="n"/>
      <c r="AU12" s="2" t="n"/>
      <c r="AV12" s="2" t="n"/>
      <c r="AW12" s="2" t="inlineStr"/>
      <c r="AX12" s="2" t="inlineStr"/>
      <c r="AY12" s="2" t="inlineStr"/>
      <c r="AZ12" s="2" t="inlineStr"/>
      <c r="BA12" s="2">
        <f>IF(COUNTA(AS12:AZ12)=0,"",SUM(AS12:AZ12))</f>
        <v/>
      </c>
      <c r="BB12" s="2">
        <f>IF(BA12="","",IF(BA12&lt;=5,"Tier 1",IF(BA12&lt;=10,"Tier 2","Tier 3")))</f>
        <v/>
      </c>
      <c r="BC12" s="2" t="inlineStr"/>
      <c r="BD12" s="2" t="inlineStr"/>
      <c r="BE12" s="2">
        <f>IF(COUNTA(AX12:BE12)=0,"",SUM(AX12:BE12))</f>
        <v/>
      </c>
      <c r="BF12" s="2">
        <f>IF(BE12="","",IF(BE12&lt;=5,"Tier 1",IF(BE12&lt;=10,"Tier 2","Tier 3")))</f>
        <v/>
      </c>
      <c r="BG12" s="2" t="n"/>
      <c r="BH12" s="2" t="n"/>
      <c r="BI12" s="2" t="n"/>
      <c r="BJ12" s="2" t="n"/>
      <c r="BK12" s="2" t="n"/>
      <c r="BL12" s="2" t="inlineStr">
        <is>
          <t>No</t>
        </is>
      </c>
      <c r="BM12" s="2" t="n"/>
      <c r="BN12" s="2" t="inlineStr">
        <is>
          <t>No</t>
        </is>
      </c>
      <c r="BO12" s="2">
        <f>IF(COUNTA(C12,D12,F12,G12,H12,J12,L12,N12,O12,AG12,AH12,AI12,AJ12,AK12,AQ12,AR12)=16,"COMPLETE","INCOMPLETE")</f>
        <v/>
      </c>
      <c r="BP12" s="2" t="n"/>
    </row>
    <row r="13" ht="42" customHeight="1">
      <c r="A13" s="2" t="inlineStr">
        <is>
          <t>CHAB-012</t>
        </is>
      </c>
      <c r="B13" s="2" t="n">
        <v>2026</v>
      </c>
      <c r="C13" s="2" t="inlineStr">
        <is>
          <t>Guideline-Derived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inlineStr">
        <is>
          <t>Yes</t>
        </is>
      </c>
      <c r="AN13" s="2" t="inlineStr">
        <is>
          <t>Minimum 2</t>
        </is>
      </c>
      <c r="AO13" s="2" t="inlineStr">
        <is>
          <t>Yes</t>
        </is>
      </c>
      <c r="AP13" s="2" t="inlineStr">
        <is>
          <t>Pending</t>
        </is>
      </c>
      <c r="AQ13" s="2" t="inlineStr">
        <is>
          <t>Pending</t>
        </is>
      </c>
      <c r="AR13" s="2" t="n"/>
      <c r="AS13" s="2" t="n"/>
      <c r="AT13" s="2" t="n"/>
      <c r="AU13" s="2" t="n"/>
      <c r="AV13" s="2" t="n"/>
      <c r="AW13" s="2" t="inlineStr"/>
      <c r="AX13" s="2" t="inlineStr"/>
      <c r="AY13" s="2" t="inlineStr"/>
      <c r="AZ13" s="2" t="inlineStr"/>
      <c r="BA13" s="2">
        <f>IF(COUNTA(AS13:AZ13)=0,"",SUM(AS13:AZ13))</f>
        <v/>
      </c>
      <c r="BB13" s="2">
        <f>IF(BA13="","",IF(BA13&lt;=5,"Tier 1",IF(BA13&lt;=10,"Tier 2","Tier 3")))</f>
        <v/>
      </c>
      <c r="BC13" s="2" t="inlineStr"/>
      <c r="BD13" s="2" t="inlineStr"/>
      <c r="BE13" s="2">
        <f>IF(COUNTA(AX13:BE13)=0,"",SUM(AX13:BE13))</f>
        <v/>
      </c>
      <c r="BF13" s="2">
        <f>IF(BE13="","",IF(BE13&lt;=5,"Tier 1",IF(BE13&lt;=10,"Tier 2","Tier 3")))</f>
        <v/>
      </c>
      <c r="BG13" s="2" t="n"/>
      <c r="BH13" s="2" t="n"/>
      <c r="BI13" s="2" t="n"/>
      <c r="BJ13" s="2" t="n"/>
      <c r="BK13" s="2" t="n"/>
      <c r="BL13" s="2" t="inlineStr">
        <is>
          <t>No</t>
        </is>
      </c>
      <c r="BM13" s="2" t="n"/>
      <c r="BN13" s="2" t="inlineStr">
        <is>
          <t>No</t>
        </is>
      </c>
      <c r="BO13" s="2">
        <f>IF(COUNTA(C13,D13,F13,G13,H13,J13,L13,N13,O13,AG13,AH13,AI13,AJ13,AK13,AQ13,AR13)=16,"COMPLETE","INCOMPLETE")</f>
        <v/>
      </c>
      <c r="BP13" s="2" t="n"/>
    </row>
    <row r="14" ht="42" customHeight="1">
      <c r="A14" s="2" t="inlineStr">
        <is>
          <t>CHAB-013</t>
        </is>
      </c>
      <c r="B14" s="2" t="n">
        <v>2026</v>
      </c>
      <c r="C14" s="2" t="inlineStr">
        <is>
          <t>Guideline-Derived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inlineStr">
        <is>
          <t>Yes</t>
        </is>
      </c>
      <c r="AN14" s="2" t="inlineStr">
        <is>
          <t>Minimum 2</t>
        </is>
      </c>
      <c r="AO14" s="2" t="inlineStr">
        <is>
          <t>Yes</t>
        </is>
      </c>
      <c r="AP14" s="2" t="inlineStr">
        <is>
          <t>Pending</t>
        </is>
      </c>
      <c r="AQ14" s="2" t="inlineStr">
        <is>
          <t>Pending</t>
        </is>
      </c>
      <c r="AR14" s="2" t="n"/>
      <c r="AS14" s="2" t="n"/>
      <c r="AT14" s="2" t="n"/>
      <c r="AU14" s="2" t="n"/>
      <c r="AV14" s="2" t="n"/>
      <c r="AW14" s="2" t="inlineStr"/>
      <c r="AX14" s="2" t="inlineStr"/>
      <c r="AY14" s="2" t="inlineStr"/>
      <c r="AZ14" s="2" t="inlineStr"/>
      <c r="BA14" s="2">
        <f>IF(COUNTA(AS14:AZ14)=0,"",SUM(AS14:AZ14))</f>
        <v/>
      </c>
      <c r="BB14" s="2">
        <f>IF(BA14="","",IF(BA14&lt;=5,"Tier 1",IF(BA14&lt;=10,"Tier 2","Tier 3")))</f>
        <v/>
      </c>
      <c r="BC14" s="2" t="inlineStr"/>
      <c r="BD14" s="2" t="inlineStr"/>
      <c r="BE14" s="2">
        <f>IF(COUNTA(AX14:BE14)=0,"",SUM(AX14:BE14))</f>
        <v/>
      </c>
      <c r="BF14" s="2">
        <f>IF(BE14="","",IF(BE14&lt;=5,"Tier 1",IF(BE14&lt;=10,"Tier 2","Tier 3")))</f>
        <v/>
      </c>
      <c r="BG14" s="2" t="n"/>
      <c r="BH14" s="2" t="n"/>
      <c r="BI14" s="2" t="n"/>
      <c r="BJ14" s="2" t="n"/>
      <c r="BK14" s="2" t="n"/>
      <c r="BL14" s="2" t="inlineStr">
        <is>
          <t>No</t>
        </is>
      </c>
      <c r="BM14" s="2" t="n"/>
      <c r="BN14" s="2" t="inlineStr">
        <is>
          <t>No</t>
        </is>
      </c>
      <c r="BO14" s="2">
        <f>IF(COUNTA(C14,D14,F14,G14,H14,J14,L14,N14,O14,AG14,AH14,AI14,AJ14,AK14,AQ14,AR14)=16,"COMPLETE","INCOMPLETE")</f>
        <v/>
      </c>
      <c r="BP14" s="2" t="n"/>
    </row>
    <row r="15" ht="42" customHeight="1">
      <c r="A15" s="2" t="inlineStr">
        <is>
          <t>CHAB-014</t>
        </is>
      </c>
      <c r="B15" s="2" t="n">
        <v>2026</v>
      </c>
      <c r="C15" s="2" t="inlineStr">
        <is>
          <t>Guideline-Derived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inlineStr">
        <is>
          <t>Yes</t>
        </is>
      </c>
      <c r="AN15" s="2" t="inlineStr">
        <is>
          <t>Minimum 2</t>
        </is>
      </c>
      <c r="AO15" s="2" t="inlineStr">
        <is>
          <t>Yes</t>
        </is>
      </c>
      <c r="AP15" s="2" t="inlineStr">
        <is>
          <t>Pending</t>
        </is>
      </c>
      <c r="AQ15" s="2" t="inlineStr">
        <is>
          <t>Pending</t>
        </is>
      </c>
      <c r="AR15" s="2" t="n"/>
      <c r="AS15" s="2" t="n"/>
      <c r="AT15" s="2" t="n"/>
      <c r="AU15" s="2" t="n"/>
      <c r="AV15" s="2" t="n"/>
      <c r="AW15" s="2" t="inlineStr"/>
      <c r="AX15" s="2" t="inlineStr"/>
      <c r="AY15" s="2" t="inlineStr"/>
      <c r="AZ15" s="2" t="inlineStr"/>
      <c r="BA15" s="2">
        <f>IF(COUNTA(AS15:AZ15)=0,"",SUM(AS15:AZ15))</f>
        <v/>
      </c>
      <c r="BB15" s="2">
        <f>IF(BA15="","",IF(BA15&lt;=5,"Tier 1",IF(BA15&lt;=10,"Tier 2","Tier 3")))</f>
        <v/>
      </c>
      <c r="BC15" s="2" t="inlineStr"/>
      <c r="BD15" s="2" t="inlineStr"/>
      <c r="BE15" s="2">
        <f>IF(COUNTA(AX15:BE15)=0,"",SUM(AX15:BE15))</f>
        <v/>
      </c>
      <c r="BF15" s="2">
        <f>IF(BE15="","",IF(BE15&lt;=5,"Tier 1",IF(BE15&lt;=10,"Tier 2","Tier 3")))</f>
        <v/>
      </c>
      <c r="BG15" s="2" t="n"/>
      <c r="BH15" s="2" t="n"/>
      <c r="BI15" s="2" t="n"/>
      <c r="BJ15" s="2" t="n"/>
      <c r="BK15" s="2" t="n"/>
      <c r="BL15" s="2" t="inlineStr">
        <is>
          <t>No</t>
        </is>
      </c>
      <c r="BM15" s="2" t="n"/>
      <c r="BN15" s="2" t="inlineStr">
        <is>
          <t>No</t>
        </is>
      </c>
      <c r="BO15" s="2">
        <f>IF(COUNTA(C15,D15,F15,G15,H15,J15,L15,N15,O15,AG15,AH15,AI15,AJ15,AK15,AQ15,AR15)=16,"COMPLETE","INCOMPLETE")</f>
        <v/>
      </c>
      <c r="BP15" s="2" t="n"/>
    </row>
    <row r="16" ht="42" customHeight="1">
      <c r="A16" s="2" t="inlineStr">
        <is>
          <t>CHAB-015</t>
        </is>
      </c>
      <c r="B16" s="2" t="n">
        <v>2026</v>
      </c>
      <c r="C16" s="2" t="inlineStr">
        <is>
          <t>Guideline-Derived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inlineStr">
        <is>
          <t>Yes</t>
        </is>
      </c>
      <c r="AN16" s="2" t="inlineStr">
        <is>
          <t>Minimum 2</t>
        </is>
      </c>
      <c r="AO16" s="2" t="inlineStr">
        <is>
          <t>Yes</t>
        </is>
      </c>
      <c r="AP16" s="2" t="inlineStr">
        <is>
          <t>Pending</t>
        </is>
      </c>
      <c r="AQ16" s="2" t="inlineStr">
        <is>
          <t>Pending</t>
        </is>
      </c>
      <c r="AR16" s="2" t="n"/>
      <c r="AS16" s="2" t="n"/>
      <c r="AT16" s="2" t="n"/>
      <c r="AU16" s="2" t="n"/>
      <c r="AV16" s="2" t="n"/>
      <c r="AW16" s="2" t="inlineStr"/>
      <c r="AX16" s="2" t="inlineStr"/>
      <c r="AY16" s="2" t="inlineStr"/>
      <c r="AZ16" s="2" t="inlineStr"/>
      <c r="BA16" s="2">
        <f>IF(COUNTA(AS16:AZ16)=0,"",SUM(AS16:AZ16))</f>
        <v/>
      </c>
      <c r="BB16" s="2">
        <f>IF(BA16="","",IF(BA16&lt;=5,"Tier 1",IF(BA16&lt;=10,"Tier 2","Tier 3")))</f>
        <v/>
      </c>
      <c r="BC16" s="2" t="inlineStr"/>
      <c r="BD16" s="2" t="inlineStr"/>
      <c r="BE16" s="2">
        <f>IF(COUNTA(AX16:BE16)=0,"",SUM(AX16:BE16))</f>
        <v/>
      </c>
      <c r="BF16" s="2">
        <f>IF(BE16="","",IF(BE16&lt;=5,"Tier 1",IF(BE16&lt;=10,"Tier 2","Tier 3")))</f>
        <v/>
      </c>
      <c r="BG16" s="2" t="n"/>
      <c r="BH16" s="2" t="n"/>
      <c r="BI16" s="2" t="n"/>
      <c r="BJ16" s="2" t="n"/>
      <c r="BK16" s="2" t="n"/>
      <c r="BL16" s="2" t="inlineStr">
        <is>
          <t>No</t>
        </is>
      </c>
      <c r="BM16" s="2" t="n"/>
      <c r="BN16" s="2" t="inlineStr">
        <is>
          <t>No</t>
        </is>
      </c>
      <c r="BO16" s="2">
        <f>IF(COUNTA(C16,D16,F16,G16,H16,J16,L16,N16,O16,AG16,AH16,AI16,AJ16,AK16,AQ16,AR16)=16,"COMPLETE","INCOMPLETE")</f>
        <v/>
      </c>
      <c r="BP16" s="2" t="n"/>
    </row>
    <row r="17" ht="42" customHeight="1">
      <c r="A17" s="2" t="inlineStr">
        <is>
          <t>CHAB-016</t>
        </is>
      </c>
      <c r="B17" s="2" t="n">
        <v>2026</v>
      </c>
      <c r="C17" s="2" t="inlineStr">
        <is>
          <t>Guideline-Derived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inlineStr">
        <is>
          <t>Yes</t>
        </is>
      </c>
      <c r="AN17" s="2" t="inlineStr">
        <is>
          <t>Minimum 2</t>
        </is>
      </c>
      <c r="AO17" s="2" t="inlineStr">
        <is>
          <t>Yes</t>
        </is>
      </c>
      <c r="AP17" s="2" t="inlineStr">
        <is>
          <t>Pending</t>
        </is>
      </c>
      <c r="AQ17" s="2" t="inlineStr">
        <is>
          <t>Pending</t>
        </is>
      </c>
      <c r="AR17" s="2" t="n"/>
      <c r="AS17" s="2" t="n"/>
      <c r="AT17" s="2" t="n"/>
      <c r="AU17" s="2" t="n"/>
      <c r="AV17" s="2" t="n"/>
      <c r="AW17" s="2" t="inlineStr"/>
      <c r="AX17" s="2" t="inlineStr"/>
      <c r="AY17" s="2" t="inlineStr"/>
      <c r="AZ17" s="2" t="inlineStr"/>
      <c r="BA17" s="2">
        <f>IF(COUNTA(AS17:AZ17)=0,"",SUM(AS17:AZ17))</f>
        <v/>
      </c>
      <c r="BB17" s="2">
        <f>IF(BA17="","",IF(BA17&lt;=5,"Tier 1",IF(BA17&lt;=10,"Tier 2","Tier 3")))</f>
        <v/>
      </c>
      <c r="BC17" s="2" t="inlineStr"/>
      <c r="BD17" s="2" t="inlineStr"/>
      <c r="BE17" s="2">
        <f>IF(COUNTA(AX17:BE17)=0,"",SUM(AX17:BE17))</f>
        <v/>
      </c>
      <c r="BF17" s="2">
        <f>IF(BE17="","",IF(BE17&lt;=5,"Tier 1",IF(BE17&lt;=10,"Tier 2","Tier 3")))</f>
        <v/>
      </c>
      <c r="BG17" s="2" t="n"/>
      <c r="BH17" s="2" t="n"/>
      <c r="BI17" s="2" t="n"/>
      <c r="BJ17" s="2" t="n"/>
      <c r="BK17" s="2" t="n"/>
      <c r="BL17" s="2" t="inlineStr">
        <is>
          <t>No</t>
        </is>
      </c>
      <c r="BM17" s="2" t="n"/>
      <c r="BN17" s="2" t="inlineStr">
        <is>
          <t>No</t>
        </is>
      </c>
      <c r="BO17" s="2">
        <f>IF(COUNTA(C17,D17,F17,G17,H17,J17,L17,N17,O17,AG17,AH17,AI17,AJ17,AK17,AQ17,AR17)=16,"COMPLETE","INCOMPLETE")</f>
        <v/>
      </c>
      <c r="BP17" s="2" t="n"/>
    </row>
    <row r="18" ht="42" customHeight="1">
      <c r="A18" s="2" t="inlineStr">
        <is>
          <t>CHAB-017</t>
        </is>
      </c>
      <c r="B18" s="2" t="n">
        <v>2026</v>
      </c>
      <c r="C18" s="2" t="inlineStr">
        <is>
          <t>Guideline-Derived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inlineStr">
        <is>
          <t>Yes</t>
        </is>
      </c>
      <c r="AN18" s="2" t="inlineStr">
        <is>
          <t>Minimum 2</t>
        </is>
      </c>
      <c r="AO18" s="2" t="inlineStr">
        <is>
          <t>Yes</t>
        </is>
      </c>
      <c r="AP18" s="2" t="inlineStr">
        <is>
          <t>Pending</t>
        </is>
      </c>
      <c r="AQ18" s="2" t="inlineStr">
        <is>
          <t>Pending</t>
        </is>
      </c>
      <c r="AR18" s="2" t="n"/>
      <c r="AS18" s="2" t="n"/>
      <c r="AT18" s="2" t="n"/>
      <c r="AU18" s="2" t="n"/>
      <c r="AV18" s="2" t="n"/>
      <c r="AW18" s="2" t="inlineStr"/>
      <c r="AX18" s="2" t="inlineStr"/>
      <c r="AY18" s="2" t="inlineStr"/>
      <c r="AZ18" s="2" t="inlineStr"/>
      <c r="BA18" s="2">
        <f>IF(COUNTA(AS18:AZ18)=0,"",SUM(AS18:AZ18))</f>
        <v/>
      </c>
      <c r="BB18" s="2">
        <f>IF(BA18="","",IF(BA18&lt;=5,"Tier 1",IF(BA18&lt;=10,"Tier 2","Tier 3")))</f>
        <v/>
      </c>
      <c r="BC18" s="2" t="inlineStr"/>
      <c r="BD18" s="2" t="inlineStr"/>
      <c r="BE18" s="2">
        <f>IF(COUNTA(AX18:BE18)=0,"",SUM(AX18:BE18))</f>
        <v/>
      </c>
      <c r="BF18" s="2">
        <f>IF(BE18="","",IF(BE18&lt;=5,"Tier 1",IF(BE18&lt;=10,"Tier 2","Tier 3")))</f>
        <v/>
      </c>
      <c r="BG18" s="2" t="n"/>
      <c r="BH18" s="2" t="n"/>
      <c r="BI18" s="2" t="n"/>
      <c r="BJ18" s="2" t="n"/>
      <c r="BK18" s="2" t="n"/>
      <c r="BL18" s="2" t="inlineStr">
        <is>
          <t>No</t>
        </is>
      </c>
      <c r="BM18" s="2" t="n"/>
      <c r="BN18" s="2" t="inlineStr">
        <is>
          <t>No</t>
        </is>
      </c>
      <c r="BO18" s="2">
        <f>IF(COUNTA(C18,D18,F18,G18,H18,J18,L18,N18,O18,AG18,AH18,AI18,AJ18,AK18,AQ18,AR18)=16,"COMPLETE","INCOMPLETE")</f>
        <v/>
      </c>
      <c r="BP18" s="2" t="n"/>
    </row>
    <row r="19" ht="42" customHeight="1">
      <c r="A19" s="2" t="inlineStr">
        <is>
          <t>CHAB-018</t>
        </is>
      </c>
      <c r="B19" s="2" t="n">
        <v>2026</v>
      </c>
      <c r="C19" s="2" t="inlineStr">
        <is>
          <t>Guideline-Derived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inlineStr">
        <is>
          <t>Yes</t>
        </is>
      </c>
      <c r="AN19" s="2" t="inlineStr">
        <is>
          <t>Minimum 2</t>
        </is>
      </c>
      <c r="AO19" s="2" t="inlineStr">
        <is>
          <t>Yes</t>
        </is>
      </c>
      <c r="AP19" s="2" t="inlineStr">
        <is>
          <t>Pending</t>
        </is>
      </c>
      <c r="AQ19" s="2" t="inlineStr">
        <is>
          <t>Pending</t>
        </is>
      </c>
      <c r="AR19" s="2" t="n"/>
      <c r="AS19" s="2" t="n"/>
      <c r="AT19" s="2" t="n"/>
      <c r="AU19" s="2" t="n"/>
      <c r="AV19" s="2" t="n"/>
      <c r="AW19" s="2" t="inlineStr"/>
      <c r="AX19" s="2" t="inlineStr"/>
      <c r="AY19" s="2" t="inlineStr"/>
      <c r="AZ19" s="2" t="inlineStr"/>
      <c r="BA19" s="2">
        <f>IF(COUNTA(AS19:AZ19)=0,"",SUM(AS19:AZ19))</f>
        <v/>
      </c>
      <c r="BB19" s="2">
        <f>IF(BA19="","",IF(BA19&lt;=5,"Tier 1",IF(BA19&lt;=10,"Tier 2","Tier 3")))</f>
        <v/>
      </c>
      <c r="BC19" s="2" t="inlineStr"/>
      <c r="BD19" s="2" t="inlineStr"/>
      <c r="BE19" s="2">
        <f>IF(COUNTA(AX19:BE19)=0,"",SUM(AX19:BE19))</f>
        <v/>
      </c>
      <c r="BF19" s="2">
        <f>IF(BE19="","",IF(BE19&lt;=5,"Tier 1",IF(BE19&lt;=10,"Tier 2","Tier 3")))</f>
        <v/>
      </c>
      <c r="BG19" s="2" t="n"/>
      <c r="BH19" s="2" t="n"/>
      <c r="BI19" s="2" t="n"/>
      <c r="BJ19" s="2" t="n"/>
      <c r="BK19" s="2" t="n"/>
      <c r="BL19" s="2" t="inlineStr">
        <is>
          <t>No</t>
        </is>
      </c>
      <c r="BM19" s="2" t="n"/>
      <c r="BN19" s="2" t="inlineStr">
        <is>
          <t>No</t>
        </is>
      </c>
      <c r="BO19" s="2">
        <f>IF(COUNTA(C19,D19,F19,G19,H19,J19,L19,N19,O19,AG19,AH19,AI19,AJ19,AK19,AQ19,AR19)=16,"COMPLETE","INCOMPLETE")</f>
        <v/>
      </c>
      <c r="BP19" s="2" t="n"/>
    </row>
    <row r="20" ht="42" customHeight="1">
      <c r="A20" s="2" t="inlineStr">
        <is>
          <t>CHAB-019</t>
        </is>
      </c>
      <c r="B20" s="2" t="n">
        <v>2026</v>
      </c>
      <c r="C20" s="2" t="inlineStr">
        <is>
          <t>Guideline-Derived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inlineStr">
        <is>
          <t>Yes</t>
        </is>
      </c>
      <c r="AN20" s="2" t="inlineStr">
        <is>
          <t>Minimum 2</t>
        </is>
      </c>
      <c r="AO20" s="2" t="inlineStr">
        <is>
          <t>Yes</t>
        </is>
      </c>
      <c r="AP20" s="2" t="inlineStr">
        <is>
          <t>Pending</t>
        </is>
      </c>
      <c r="AQ20" s="2" t="inlineStr">
        <is>
          <t>Pending</t>
        </is>
      </c>
      <c r="AR20" s="2" t="n"/>
      <c r="AS20" s="2" t="n"/>
      <c r="AT20" s="2" t="n"/>
      <c r="AU20" s="2" t="n"/>
      <c r="AV20" s="2" t="n"/>
      <c r="AW20" s="2" t="inlineStr"/>
      <c r="AX20" s="2" t="inlineStr"/>
      <c r="AY20" s="2" t="inlineStr"/>
      <c r="AZ20" s="2" t="inlineStr"/>
      <c r="BA20" s="2">
        <f>IF(COUNTA(AS20:AZ20)=0,"",SUM(AS20:AZ20))</f>
        <v/>
      </c>
      <c r="BB20" s="2">
        <f>IF(BA20="","",IF(BA20&lt;=5,"Tier 1",IF(BA20&lt;=10,"Tier 2","Tier 3")))</f>
        <v/>
      </c>
      <c r="BC20" s="2" t="inlineStr"/>
      <c r="BD20" s="2" t="inlineStr"/>
      <c r="BE20" s="2">
        <f>IF(COUNTA(AX20:BE20)=0,"",SUM(AX20:BE20))</f>
        <v/>
      </c>
      <c r="BF20" s="2">
        <f>IF(BE20="","",IF(BE20&lt;=5,"Tier 1",IF(BE20&lt;=10,"Tier 2","Tier 3")))</f>
        <v/>
      </c>
      <c r="BG20" s="2" t="n"/>
      <c r="BH20" s="2" t="n"/>
      <c r="BI20" s="2" t="n"/>
      <c r="BJ20" s="2" t="n"/>
      <c r="BK20" s="2" t="n"/>
      <c r="BL20" s="2" t="inlineStr">
        <is>
          <t>No</t>
        </is>
      </c>
      <c r="BM20" s="2" t="n"/>
      <c r="BN20" s="2" t="inlineStr">
        <is>
          <t>No</t>
        </is>
      </c>
      <c r="BO20" s="2">
        <f>IF(COUNTA(C20,D20,F20,G20,H20,J20,L20,N20,O20,AG20,AH20,AI20,AJ20,AK20,AQ20,AR20)=16,"COMPLETE","INCOMPLETE")</f>
        <v/>
      </c>
      <c r="BP20" s="2" t="n"/>
    </row>
    <row r="21" ht="42" customHeight="1">
      <c r="A21" s="2" t="inlineStr">
        <is>
          <t>CHAB-020</t>
        </is>
      </c>
      <c r="B21" s="2" t="n">
        <v>2026</v>
      </c>
      <c r="C21" s="2" t="inlineStr">
        <is>
          <t>Guideline-Derived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inlineStr">
        <is>
          <t>Yes</t>
        </is>
      </c>
      <c r="AN21" s="2" t="inlineStr">
        <is>
          <t>Minimum 2</t>
        </is>
      </c>
      <c r="AO21" s="2" t="inlineStr">
        <is>
          <t>Yes</t>
        </is>
      </c>
      <c r="AP21" s="2" t="inlineStr">
        <is>
          <t>Pending</t>
        </is>
      </c>
      <c r="AQ21" s="2" t="inlineStr">
        <is>
          <t>Pending</t>
        </is>
      </c>
      <c r="AR21" s="2" t="n"/>
      <c r="AS21" s="2" t="n"/>
      <c r="AT21" s="2" t="n"/>
      <c r="AU21" s="2" t="n"/>
      <c r="AV21" s="2" t="n"/>
      <c r="AW21" s="2" t="inlineStr"/>
      <c r="AX21" s="2" t="inlineStr"/>
      <c r="AY21" s="2" t="inlineStr"/>
      <c r="AZ21" s="2" t="inlineStr"/>
      <c r="BA21" s="2">
        <f>IF(COUNTA(AS21:AZ21)=0,"",SUM(AS21:AZ21))</f>
        <v/>
      </c>
      <c r="BB21" s="2">
        <f>IF(BA21="","",IF(BA21&lt;=5,"Tier 1",IF(BA21&lt;=10,"Tier 2","Tier 3")))</f>
        <v/>
      </c>
      <c r="BC21" s="2" t="inlineStr"/>
      <c r="BD21" s="2" t="inlineStr"/>
      <c r="BE21" s="2">
        <f>IF(COUNTA(AX21:BE21)=0,"",SUM(AX21:BE21))</f>
        <v/>
      </c>
      <c r="BF21" s="2">
        <f>IF(BE21="","",IF(BE21&lt;=5,"Tier 1",IF(BE21&lt;=10,"Tier 2","Tier 3")))</f>
        <v/>
      </c>
      <c r="BG21" s="2" t="n"/>
      <c r="BH21" s="2" t="n"/>
      <c r="BI21" s="2" t="n"/>
      <c r="BJ21" s="2" t="n"/>
      <c r="BK21" s="2" t="n"/>
      <c r="BL21" s="2" t="inlineStr">
        <is>
          <t>No</t>
        </is>
      </c>
      <c r="BM21" s="2" t="n"/>
      <c r="BN21" s="2" t="inlineStr">
        <is>
          <t>No</t>
        </is>
      </c>
      <c r="BO21" s="2">
        <f>IF(COUNTA(C21,D21,F21,G21,H21,J21,L21,N21,O21,AG21,AH21,AI21,AJ21,AK21,AQ21,AR21)=16,"COMPLETE","INCOMPLETE")</f>
        <v/>
      </c>
      <c r="BP21" s="2" t="n"/>
    </row>
    <row r="22" ht="42" customHeight="1">
      <c r="A22" s="2" t="inlineStr">
        <is>
          <t>CHAB-021</t>
        </is>
      </c>
      <c r="B22" s="2" t="n">
        <v>2026</v>
      </c>
      <c r="C22" s="2" t="inlineStr">
        <is>
          <t>Guideline-Derived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inlineStr">
        <is>
          <t>Yes</t>
        </is>
      </c>
      <c r="AN22" s="2" t="inlineStr">
        <is>
          <t>Minimum 2</t>
        </is>
      </c>
      <c r="AO22" s="2" t="inlineStr">
        <is>
          <t>Yes</t>
        </is>
      </c>
      <c r="AP22" s="2" t="inlineStr">
        <is>
          <t>Pending</t>
        </is>
      </c>
      <c r="AQ22" s="2" t="inlineStr">
        <is>
          <t>Pending</t>
        </is>
      </c>
      <c r="AR22" s="2" t="n"/>
      <c r="AS22" s="2" t="n"/>
      <c r="AT22" s="2" t="n"/>
      <c r="AU22" s="2" t="n"/>
      <c r="AV22" s="2" t="n"/>
      <c r="AW22" s="2" t="inlineStr"/>
      <c r="AX22" s="2" t="inlineStr"/>
      <c r="AY22" s="2" t="inlineStr"/>
      <c r="AZ22" s="2" t="inlineStr"/>
      <c r="BA22" s="2">
        <f>IF(COUNTA(AS22:AZ22)=0,"",SUM(AS22:AZ22))</f>
        <v/>
      </c>
      <c r="BB22" s="2">
        <f>IF(BA22="","",IF(BA22&lt;=5,"Tier 1",IF(BA22&lt;=10,"Tier 2","Tier 3")))</f>
        <v/>
      </c>
      <c r="BC22" s="2" t="inlineStr"/>
      <c r="BD22" s="2" t="inlineStr"/>
      <c r="BE22" s="2">
        <f>IF(COUNTA(AX22:BE22)=0,"",SUM(AX22:BE22))</f>
        <v/>
      </c>
      <c r="BF22" s="2">
        <f>IF(BE22="","",IF(BE22&lt;=5,"Tier 1",IF(BE22&lt;=10,"Tier 2","Tier 3")))</f>
        <v/>
      </c>
      <c r="BG22" s="2" t="n"/>
      <c r="BH22" s="2" t="n"/>
      <c r="BI22" s="2" t="n"/>
      <c r="BJ22" s="2" t="n"/>
      <c r="BK22" s="2" t="n"/>
      <c r="BL22" s="2" t="inlineStr">
        <is>
          <t>No</t>
        </is>
      </c>
      <c r="BM22" s="2" t="n"/>
      <c r="BN22" s="2" t="inlineStr">
        <is>
          <t>No</t>
        </is>
      </c>
      <c r="BO22" s="2">
        <f>IF(COUNTA(C22,D22,F22,G22,H22,J22,L22,N22,O22,AG22,AH22,AI22,AJ22,AK22,AQ22,AR22)=16,"COMPLETE","INCOMPLETE")</f>
        <v/>
      </c>
      <c r="BP22" s="2" t="n"/>
    </row>
    <row r="23" ht="42" customHeight="1">
      <c r="A23" s="2" t="inlineStr">
        <is>
          <t>CHAB-022</t>
        </is>
      </c>
      <c r="B23" s="2" t="n">
        <v>2026</v>
      </c>
      <c r="C23" s="2" t="inlineStr">
        <is>
          <t>Guideline-Derived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inlineStr">
        <is>
          <t>Yes</t>
        </is>
      </c>
      <c r="AN23" s="2" t="inlineStr">
        <is>
          <t>Minimum 2</t>
        </is>
      </c>
      <c r="AO23" s="2" t="inlineStr">
        <is>
          <t>Yes</t>
        </is>
      </c>
      <c r="AP23" s="2" t="inlineStr">
        <is>
          <t>Pending</t>
        </is>
      </c>
      <c r="AQ23" s="2" t="inlineStr">
        <is>
          <t>Pending</t>
        </is>
      </c>
      <c r="AR23" s="2" t="n"/>
      <c r="AS23" s="2" t="n"/>
      <c r="AT23" s="2" t="n"/>
      <c r="AU23" s="2" t="n"/>
      <c r="AV23" s="2" t="n"/>
      <c r="AW23" s="2" t="inlineStr"/>
      <c r="AX23" s="2" t="inlineStr"/>
      <c r="AY23" s="2" t="inlineStr"/>
      <c r="AZ23" s="2" t="inlineStr"/>
      <c r="BA23" s="2">
        <f>IF(COUNTA(AS23:AZ23)=0,"",SUM(AS23:AZ23))</f>
        <v/>
      </c>
      <c r="BB23" s="2">
        <f>IF(BA23="","",IF(BA23&lt;=5,"Tier 1",IF(BA23&lt;=10,"Tier 2","Tier 3")))</f>
        <v/>
      </c>
      <c r="BC23" s="2" t="inlineStr"/>
      <c r="BD23" s="2" t="inlineStr"/>
      <c r="BE23" s="2">
        <f>IF(COUNTA(AX23:BE23)=0,"",SUM(AX23:BE23))</f>
        <v/>
      </c>
      <c r="BF23" s="2">
        <f>IF(BE23="","",IF(BE23&lt;=5,"Tier 1",IF(BE23&lt;=10,"Tier 2","Tier 3")))</f>
        <v/>
      </c>
      <c r="BG23" s="2" t="n"/>
      <c r="BH23" s="2" t="n"/>
      <c r="BI23" s="2" t="n"/>
      <c r="BJ23" s="2" t="n"/>
      <c r="BK23" s="2" t="n"/>
      <c r="BL23" s="2" t="inlineStr">
        <is>
          <t>No</t>
        </is>
      </c>
      <c r="BM23" s="2" t="n"/>
      <c r="BN23" s="2" t="inlineStr">
        <is>
          <t>No</t>
        </is>
      </c>
      <c r="BO23" s="2">
        <f>IF(COUNTA(C23,D23,F23,G23,H23,J23,L23,N23,O23,AG23,AH23,AI23,AJ23,AK23,AQ23,AR23)=16,"COMPLETE","INCOMPLETE")</f>
        <v/>
      </c>
      <c r="BP23" s="2" t="n"/>
    </row>
    <row r="24" ht="42" customHeight="1">
      <c r="A24" s="2" t="inlineStr">
        <is>
          <t>CHAB-023</t>
        </is>
      </c>
      <c r="B24" s="2" t="n">
        <v>2026</v>
      </c>
      <c r="C24" s="2" t="inlineStr">
        <is>
          <t>Guideline-Derived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inlineStr">
        <is>
          <t>Yes</t>
        </is>
      </c>
      <c r="AN24" s="2" t="inlineStr">
        <is>
          <t>Minimum 2</t>
        </is>
      </c>
      <c r="AO24" s="2" t="inlineStr">
        <is>
          <t>Yes</t>
        </is>
      </c>
      <c r="AP24" s="2" t="inlineStr">
        <is>
          <t>Pending</t>
        </is>
      </c>
      <c r="AQ24" s="2" t="inlineStr">
        <is>
          <t>Pending</t>
        </is>
      </c>
      <c r="AR24" s="2" t="n"/>
      <c r="AS24" s="2" t="n"/>
      <c r="AT24" s="2" t="n"/>
      <c r="AU24" s="2" t="n"/>
      <c r="AV24" s="2" t="n"/>
      <c r="AW24" s="2" t="inlineStr"/>
      <c r="AX24" s="2" t="inlineStr"/>
      <c r="AY24" s="2" t="inlineStr"/>
      <c r="AZ24" s="2" t="inlineStr"/>
      <c r="BA24" s="2">
        <f>IF(COUNTA(AS24:AZ24)=0,"",SUM(AS24:AZ24))</f>
        <v/>
      </c>
      <c r="BB24" s="2">
        <f>IF(BA24="","",IF(BA24&lt;=5,"Tier 1",IF(BA24&lt;=10,"Tier 2","Tier 3")))</f>
        <v/>
      </c>
      <c r="BC24" s="2" t="inlineStr"/>
      <c r="BD24" s="2" t="inlineStr"/>
      <c r="BE24" s="2">
        <f>IF(COUNTA(AX24:BE24)=0,"",SUM(AX24:BE24))</f>
        <v/>
      </c>
      <c r="BF24" s="2">
        <f>IF(BE24="","",IF(BE24&lt;=5,"Tier 1",IF(BE24&lt;=10,"Tier 2","Tier 3")))</f>
        <v/>
      </c>
      <c r="BG24" s="2" t="n"/>
      <c r="BH24" s="2" t="n"/>
      <c r="BI24" s="2" t="n"/>
      <c r="BJ24" s="2" t="n"/>
      <c r="BK24" s="2" t="n"/>
      <c r="BL24" s="2" t="inlineStr">
        <is>
          <t>No</t>
        </is>
      </c>
      <c r="BM24" s="2" t="n"/>
      <c r="BN24" s="2" t="inlineStr">
        <is>
          <t>No</t>
        </is>
      </c>
      <c r="BO24" s="2">
        <f>IF(COUNTA(C24,D24,F24,G24,H24,J24,L24,N24,O24,AG24,AH24,AI24,AJ24,AK24,AQ24,AR24)=16,"COMPLETE","INCOMPLETE")</f>
        <v/>
      </c>
      <c r="BP24" s="2" t="n"/>
    </row>
    <row r="25" ht="42" customHeight="1">
      <c r="A25" s="2" t="inlineStr">
        <is>
          <t>CHAB-024</t>
        </is>
      </c>
      <c r="B25" s="2" t="n">
        <v>2026</v>
      </c>
      <c r="C25" s="2" t="inlineStr">
        <is>
          <t>Guideline-Derived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inlineStr">
        <is>
          <t>Yes</t>
        </is>
      </c>
      <c r="AN25" s="2" t="inlineStr">
        <is>
          <t>Minimum 2</t>
        </is>
      </c>
      <c r="AO25" s="2" t="inlineStr">
        <is>
          <t>Yes</t>
        </is>
      </c>
      <c r="AP25" s="2" t="inlineStr">
        <is>
          <t>Pending</t>
        </is>
      </c>
      <c r="AQ25" s="2" t="inlineStr">
        <is>
          <t>Pending</t>
        </is>
      </c>
      <c r="AR25" s="2" t="n"/>
      <c r="AS25" s="2" t="n"/>
      <c r="AT25" s="2" t="n"/>
      <c r="AU25" s="2" t="n"/>
      <c r="AV25" s="2" t="n"/>
      <c r="AW25" s="2" t="inlineStr"/>
      <c r="AX25" s="2" t="inlineStr"/>
      <c r="AY25" s="2" t="inlineStr"/>
      <c r="AZ25" s="2" t="inlineStr"/>
      <c r="BA25" s="2">
        <f>IF(COUNTA(AS25:AZ25)=0,"",SUM(AS25:AZ25))</f>
        <v/>
      </c>
      <c r="BB25" s="2">
        <f>IF(BA25="","",IF(BA25&lt;=5,"Tier 1",IF(BA25&lt;=10,"Tier 2","Tier 3")))</f>
        <v/>
      </c>
      <c r="BC25" s="2" t="inlineStr"/>
      <c r="BD25" s="2" t="inlineStr"/>
      <c r="BE25" s="2">
        <f>IF(COUNTA(AX25:BE25)=0,"",SUM(AX25:BE25))</f>
        <v/>
      </c>
      <c r="BF25" s="2">
        <f>IF(BE25="","",IF(BE25&lt;=5,"Tier 1",IF(BE25&lt;=10,"Tier 2","Tier 3")))</f>
        <v/>
      </c>
      <c r="BG25" s="2" t="n"/>
      <c r="BH25" s="2" t="n"/>
      <c r="BI25" s="2" t="n"/>
      <c r="BJ25" s="2" t="n"/>
      <c r="BK25" s="2" t="n"/>
      <c r="BL25" s="2" t="inlineStr">
        <is>
          <t>No</t>
        </is>
      </c>
      <c r="BM25" s="2" t="n"/>
      <c r="BN25" s="2" t="inlineStr">
        <is>
          <t>No</t>
        </is>
      </c>
      <c r="BO25" s="2">
        <f>IF(COUNTA(C25,D25,F25,G25,H25,J25,L25,N25,O25,AG25,AH25,AI25,AJ25,AK25,AQ25,AR25)=16,"COMPLETE","INCOMPLETE")</f>
        <v/>
      </c>
      <c r="BP25" s="2" t="n"/>
    </row>
    <row r="26" ht="42" customHeight="1">
      <c r="A26" s="2" t="inlineStr">
        <is>
          <t>CHAB-025</t>
        </is>
      </c>
      <c r="B26" s="2" t="n">
        <v>2026</v>
      </c>
      <c r="C26" s="2" t="inlineStr">
        <is>
          <t>Guideline-Derived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inlineStr">
        <is>
          <t>Yes</t>
        </is>
      </c>
      <c r="AN26" s="2" t="inlineStr">
        <is>
          <t>Minimum 2</t>
        </is>
      </c>
      <c r="AO26" s="2" t="inlineStr">
        <is>
          <t>Yes</t>
        </is>
      </c>
      <c r="AP26" s="2" t="inlineStr">
        <is>
          <t>Pending</t>
        </is>
      </c>
      <c r="AQ26" s="2" t="inlineStr">
        <is>
          <t>Pending</t>
        </is>
      </c>
      <c r="AR26" s="2" t="n"/>
      <c r="AS26" s="2" t="n"/>
      <c r="AT26" s="2" t="n"/>
      <c r="AU26" s="2" t="n"/>
      <c r="AV26" s="2" t="n"/>
      <c r="AW26" s="2" t="inlineStr"/>
      <c r="AX26" s="2" t="inlineStr"/>
      <c r="AY26" s="2" t="inlineStr"/>
      <c r="AZ26" s="2" t="inlineStr"/>
      <c r="BA26" s="2">
        <f>IF(COUNTA(AS26:AZ26)=0,"",SUM(AS26:AZ26))</f>
        <v/>
      </c>
      <c r="BB26" s="2">
        <f>IF(BA26="","",IF(BA26&lt;=5,"Tier 1",IF(BA26&lt;=10,"Tier 2","Tier 3")))</f>
        <v/>
      </c>
      <c r="BC26" s="2" t="inlineStr"/>
      <c r="BD26" s="2" t="inlineStr"/>
      <c r="BE26" s="2">
        <f>IF(COUNTA(AX26:BE26)=0,"",SUM(AX26:BE26))</f>
        <v/>
      </c>
      <c r="BF26" s="2">
        <f>IF(BE26="","",IF(BE26&lt;=5,"Tier 1",IF(BE26&lt;=10,"Tier 2","Tier 3")))</f>
        <v/>
      </c>
      <c r="BG26" s="2" t="n"/>
      <c r="BH26" s="2" t="n"/>
      <c r="BI26" s="2" t="n"/>
      <c r="BJ26" s="2" t="n"/>
      <c r="BK26" s="2" t="n"/>
      <c r="BL26" s="2" t="inlineStr">
        <is>
          <t>No</t>
        </is>
      </c>
      <c r="BM26" s="2" t="n"/>
      <c r="BN26" s="2" t="inlineStr">
        <is>
          <t>No</t>
        </is>
      </c>
      <c r="BO26" s="2">
        <f>IF(COUNTA(C26,D26,F26,G26,H26,J26,L26,N26,O26,AG26,AH26,AI26,AJ26,AK26,AQ26,AR26)=16,"COMPLETE","INCOMPLETE")</f>
        <v/>
      </c>
      <c r="BP26" s="2" t="n"/>
    </row>
    <row r="27" ht="42" customHeight="1">
      <c r="A27" s="2" t="inlineStr">
        <is>
          <t>CHAB-026</t>
        </is>
      </c>
      <c r="B27" s="2" t="n">
        <v>2026</v>
      </c>
      <c r="C27" s="2" t="inlineStr">
        <is>
          <t>Guideline-Derived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inlineStr">
        <is>
          <t>Yes</t>
        </is>
      </c>
      <c r="AN27" s="2" t="inlineStr">
        <is>
          <t>Minimum 2</t>
        </is>
      </c>
      <c r="AO27" s="2" t="inlineStr">
        <is>
          <t>Yes</t>
        </is>
      </c>
      <c r="AP27" s="2" t="inlineStr">
        <is>
          <t>Pending</t>
        </is>
      </c>
      <c r="AQ27" s="2" t="inlineStr">
        <is>
          <t>Pending</t>
        </is>
      </c>
      <c r="AR27" s="2" t="n"/>
      <c r="AS27" s="2" t="n"/>
      <c r="AT27" s="2" t="n"/>
      <c r="AU27" s="2" t="n"/>
      <c r="AV27" s="2" t="n"/>
      <c r="AW27" s="2" t="inlineStr"/>
      <c r="AX27" s="2" t="inlineStr"/>
      <c r="AY27" s="2" t="inlineStr"/>
      <c r="AZ27" s="2" t="inlineStr"/>
      <c r="BA27" s="2">
        <f>IF(COUNTA(AS27:AZ27)=0,"",SUM(AS27:AZ27))</f>
        <v/>
      </c>
      <c r="BB27" s="2">
        <f>IF(BA27="","",IF(BA27&lt;=5,"Tier 1",IF(BA27&lt;=10,"Tier 2","Tier 3")))</f>
        <v/>
      </c>
      <c r="BC27" s="2" t="inlineStr"/>
      <c r="BD27" s="2" t="inlineStr"/>
      <c r="BE27" s="2">
        <f>IF(COUNTA(AX27:BE27)=0,"",SUM(AX27:BE27))</f>
        <v/>
      </c>
      <c r="BF27" s="2">
        <f>IF(BE27="","",IF(BE27&lt;=5,"Tier 1",IF(BE27&lt;=10,"Tier 2","Tier 3")))</f>
        <v/>
      </c>
      <c r="BG27" s="2" t="n"/>
      <c r="BH27" s="2" t="n"/>
      <c r="BI27" s="2" t="n"/>
      <c r="BJ27" s="2" t="n"/>
      <c r="BK27" s="2" t="n"/>
      <c r="BL27" s="2" t="inlineStr">
        <is>
          <t>No</t>
        </is>
      </c>
      <c r="BM27" s="2" t="n"/>
      <c r="BN27" s="2" t="inlineStr">
        <is>
          <t>No</t>
        </is>
      </c>
      <c r="BO27" s="2">
        <f>IF(COUNTA(C27,D27,F27,G27,H27,J27,L27,N27,O27,AG27,AH27,AI27,AJ27,AK27,AQ27,AR27)=16,"COMPLETE","INCOMPLETE")</f>
        <v/>
      </c>
      <c r="BP27" s="2" t="n"/>
    </row>
    <row r="28" ht="42" customHeight="1">
      <c r="A28" s="2" t="inlineStr">
        <is>
          <t>CHAB-027</t>
        </is>
      </c>
      <c r="B28" s="2" t="n">
        <v>2026</v>
      </c>
      <c r="C28" s="2" t="inlineStr">
        <is>
          <t>Guideline-Derived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inlineStr">
        <is>
          <t>Yes</t>
        </is>
      </c>
      <c r="AN28" s="2" t="inlineStr">
        <is>
          <t>Minimum 2</t>
        </is>
      </c>
      <c r="AO28" s="2" t="inlineStr">
        <is>
          <t>Yes</t>
        </is>
      </c>
      <c r="AP28" s="2" t="inlineStr">
        <is>
          <t>Pending</t>
        </is>
      </c>
      <c r="AQ28" s="2" t="inlineStr">
        <is>
          <t>Pending</t>
        </is>
      </c>
      <c r="AR28" s="2" t="n"/>
      <c r="AS28" s="2" t="n"/>
      <c r="AT28" s="2" t="n"/>
      <c r="AU28" s="2" t="n"/>
      <c r="AV28" s="2" t="n"/>
      <c r="AW28" s="2" t="inlineStr"/>
      <c r="AX28" s="2" t="inlineStr"/>
      <c r="AY28" s="2" t="inlineStr"/>
      <c r="AZ28" s="2" t="inlineStr"/>
      <c r="BA28" s="2">
        <f>IF(COUNTA(AS28:AZ28)=0,"",SUM(AS28:AZ28))</f>
        <v/>
      </c>
      <c r="BB28" s="2">
        <f>IF(BA28="","",IF(BA28&lt;=5,"Tier 1",IF(BA28&lt;=10,"Tier 2","Tier 3")))</f>
        <v/>
      </c>
      <c r="BC28" s="2" t="inlineStr"/>
      <c r="BD28" s="2" t="inlineStr"/>
      <c r="BE28" s="2">
        <f>IF(COUNTA(AX28:BE28)=0,"",SUM(AX28:BE28))</f>
        <v/>
      </c>
      <c r="BF28" s="2">
        <f>IF(BE28="","",IF(BE28&lt;=5,"Tier 1",IF(BE28&lt;=10,"Tier 2","Tier 3")))</f>
        <v/>
      </c>
      <c r="BG28" s="2" t="n"/>
      <c r="BH28" s="2" t="n"/>
      <c r="BI28" s="2" t="n"/>
      <c r="BJ28" s="2" t="n"/>
      <c r="BK28" s="2" t="n"/>
      <c r="BL28" s="2" t="inlineStr">
        <is>
          <t>No</t>
        </is>
      </c>
      <c r="BM28" s="2" t="n"/>
      <c r="BN28" s="2" t="inlineStr">
        <is>
          <t>No</t>
        </is>
      </c>
      <c r="BO28" s="2">
        <f>IF(COUNTA(C28,D28,F28,G28,H28,J28,L28,N28,O28,AG28,AH28,AI28,AJ28,AK28,AQ28,AR28)=16,"COMPLETE","INCOMPLETE")</f>
        <v/>
      </c>
      <c r="BP28" s="2" t="n"/>
    </row>
    <row r="29" ht="42" customHeight="1">
      <c r="A29" s="2" t="inlineStr">
        <is>
          <t>CHAB-028</t>
        </is>
      </c>
      <c r="B29" s="2" t="n">
        <v>2026</v>
      </c>
      <c r="C29" s="2" t="inlineStr">
        <is>
          <t>Guideline-Derived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inlineStr">
        <is>
          <t>Yes</t>
        </is>
      </c>
      <c r="AN29" s="2" t="inlineStr">
        <is>
          <t>Minimum 2</t>
        </is>
      </c>
      <c r="AO29" s="2" t="inlineStr">
        <is>
          <t>Yes</t>
        </is>
      </c>
      <c r="AP29" s="2" t="inlineStr">
        <is>
          <t>Pending</t>
        </is>
      </c>
      <c r="AQ29" s="2" t="inlineStr">
        <is>
          <t>Pending</t>
        </is>
      </c>
      <c r="AR29" s="2" t="n"/>
      <c r="AS29" s="2" t="n"/>
      <c r="AT29" s="2" t="n"/>
      <c r="AU29" s="2" t="n"/>
      <c r="AV29" s="2" t="n"/>
      <c r="AW29" s="2" t="inlineStr"/>
      <c r="AX29" s="2" t="inlineStr"/>
      <c r="AY29" s="2" t="inlineStr"/>
      <c r="AZ29" s="2" t="inlineStr"/>
      <c r="BA29" s="2">
        <f>IF(COUNTA(AS29:AZ29)=0,"",SUM(AS29:AZ29))</f>
        <v/>
      </c>
      <c r="BB29" s="2">
        <f>IF(BA29="","",IF(BA29&lt;=5,"Tier 1",IF(BA29&lt;=10,"Tier 2","Tier 3")))</f>
        <v/>
      </c>
      <c r="BC29" s="2" t="inlineStr"/>
      <c r="BD29" s="2" t="inlineStr"/>
      <c r="BE29" s="2">
        <f>IF(COUNTA(AX29:BE29)=0,"",SUM(AX29:BE29))</f>
        <v/>
      </c>
      <c r="BF29" s="2">
        <f>IF(BE29="","",IF(BE29&lt;=5,"Tier 1",IF(BE29&lt;=10,"Tier 2","Tier 3")))</f>
        <v/>
      </c>
      <c r="BG29" s="2" t="n"/>
      <c r="BH29" s="2" t="n"/>
      <c r="BI29" s="2" t="n"/>
      <c r="BJ29" s="2" t="n"/>
      <c r="BK29" s="2" t="n"/>
      <c r="BL29" s="2" t="inlineStr">
        <is>
          <t>No</t>
        </is>
      </c>
      <c r="BM29" s="2" t="n"/>
      <c r="BN29" s="2" t="inlineStr">
        <is>
          <t>No</t>
        </is>
      </c>
      <c r="BO29" s="2">
        <f>IF(COUNTA(C29,D29,F29,G29,H29,J29,L29,N29,O29,AG29,AH29,AI29,AJ29,AK29,AQ29,AR29)=16,"COMPLETE","INCOMPLETE")</f>
        <v/>
      </c>
      <c r="BP29" s="2" t="n"/>
    </row>
    <row r="30" ht="42" customHeight="1">
      <c r="A30" s="2" t="inlineStr">
        <is>
          <t>CHAB-029</t>
        </is>
      </c>
      <c r="B30" s="2" t="n">
        <v>2026</v>
      </c>
      <c r="C30" s="2" t="inlineStr">
        <is>
          <t>Guideline-Derived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inlineStr">
        <is>
          <t>Yes</t>
        </is>
      </c>
      <c r="AN30" s="2" t="inlineStr">
        <is>
          <t>Minimum 2</t>
        </is>
      </c>
      <c r="AO30" s="2" t="inlineStr">
        <is>
          <t>Yes</t>
        </is>
      </c>
      <c r="AP30" s="2" t="inlineStr">
        <is>
          <t>Pending</t>
        </is>
      </c>
      <c r="AQ30" s="2" t="inlineStr">
        <is>
          <t>Pending</t>
        </is>
      </c>
      <c r="AR30" s="2" t="n"/>
      <c r="AS30" s="2" t="n"/>
      <c r="AT30" s="2" t="n"/>
      <c r="AU30" s="2" t="n"/>
      <c r="AV30" s="2" t="n"/>
      <c r="AW30" s="2" t="inlineStr"/>
      <c r="AX30" s="2" t="inlineStr"/>
      <c r="AY30" s="2" t="inlineStr"/>
      <c r="AZ30" s="2" t="inlineStr"/>
      <c r="BA30" s="2">
        <f>IF(COUNTA(AS30:AZ30)=0,"",SUM(AS30:AZ30))</f>
        <v/>
      </c>
      <c r="BB30" s="2">
        <f>IF(BA30="","",IF(BA30&lt;=5,"Tier 1",IF(BA30&lt;=10,"Tier 2","Tier 3")))</f>
        <v/>
      </c>
      <c r="BC30" s="2" t="inlineStr"/>
      <c r="BD30" s="2" t="inlineStr"/>
      <c r="BE30" s="2">
        <f>IF(COUNTA(AX30:BE30)=0,"",SUM(AX30:BE30))</f>
        <v/>
      </c>
      <c r="BF30" s="2">
        <f>IF(BE30="","",IF(BE30&lt;=5,"Tier 1",IF(BE30&lt;=10,"Tier 2","Tier 3")))</f>
        <v/>
      </c>
      <c r="BG30" s="2" t="n"/>
      <c r="BH30" s="2" t="n"/>
      <c r="BI30" s="2" t="n"/>
      <c r="BJ30" s="2" t="n"/>
      <c r="BK30" s="2" t="n"/>
      <c r="BL30" s="2" t="inlineStr">
        <is>
          <t>No</t>
        </is>
      </c>
      <c r="BM30" s="2" t="n"/>
      <c r="BN30" s="2" t="inlineStr">
        <is>
          <t>No</t>
        </is>
      </c>
      <c r="BO30" s="2">
        <f>IF(COUNTA(C30,D30,F30,G30,H30,J30,L30,N30,O30,AG30,AH30,AI30,AJ30,AK30,AQ30,AR30)=16,"COMPLETE","INCOMPLETE")</f>
        <v/>
      </c>
      <c r="BP30" s="2" t="n"/>
    </row>
    <row r="31" ht="42" customHeight="1">
      <c r="A31" s="2" t="inlineStr">
        <is>
          <t>CHAB-030</t>
        </is>
      </c>
      <c r="B31" s="2" t="n">
        <v>2026</v>
      </c>
      <c r="C31" s="2" t="inlineStr">
        <is>
          <t>Guideline-Derived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inlineStr">
        <is>
          <t>Yes</t>
        </is>
      </c>
      <c r="AN31" s="2" t="inlineStr">
        <is>
          <t>Minimum 2</t>
        </is>
      </c>
      <c r="AO31" s="2" t="inlineStr">
        <is>
          <t>Yes</t>
        </is>
      </c>
      <c r="AP31" s="2" t="inlineStr">
        <is>
          <t>Pending</t>
        </is>
      </c>
      <c r="AQ31" s="2" t="inlineStr">
        <is>
          <t>Pending</t>
        </is>
      </c>
      <c r="AR31" s="2" t="n"/>
      <c r="AS31" s="2" t="n"/>
      <c r="AT31" s="2" t="n"/>
      <c r="AU31" s="2" t="n"/>
      <c r="AV31" s="2" t="n"/>
      <c r="AW31" s="2" t="inlineStr"/>
      <c r="AX31" s="2" t="inlineStr"/>
      <c r="AY31" s="2" t="inlineStr"/>
      <c r="AZ31" s="2" t="inlineStr"/>
      <c r="BA31" s="2">
        <f>IF(COUNTA(AS31:AZ31)=0,"",SUM(AS31:AZ31))</f>
        <v/>
      </c>
      <c r="BB31" s="2">
        <f>IF(BA31="","",IF(BA31&lt;=5,"Tier 1",IF(BA31&lt;=10,"Tier 2","Tier 3")))</f>
        <v/>
      </c>
      <c r="BC31" s="2" t="inlineStr"/>
      <c r="BD31" s="2" t="inlineStr"/>
      <c r="BE31" s="2">
        <f>IF(COUNTA(AX31:BE31)=0,"",SUM(AX31:BE31))</f>
        <v/>
      </c>
      <c r="BF31" s="2">
        <f>IF(BE31="","",IF(BE31&lt;=5,"Tier 1",IF(BE31&lt;=10,"Tier 2","Tier 3")))</f>
        <v/>
      </c>
      <c r="BG31" s="2" t="n"/>
      <c r="BH31" s="2" t="n"/>
      <c r="BI31" s="2" t="n"/>
      <c r="BJ31" s="2" t="n"/>
      <c r="BK31" s="2" t="n"/>
      <c r="BL31" s="2" t="inlineStr">
        <is>
          <t>No</t>
        </is>
      </c>
      <c r="BM31" s="2" t="n"/>
      <c r="BN31" s="2" t="inlineStr">
        <is>
          <t>No</t>
        </is>
      </c>
      <c r="BO31" s="2">
        <f>IF(COUNTA(C31,D31,F31,G31,H31,J31,L31,N31,O31,AG31,AH31,AI31,AJ31,AK31,AQ31,AR31)=16,"COMPLETE","INCOMPLETE")</f>
        <v/>
      </c>
      <c r="BP31" s="2" t="n"/>
    </row>
    <row r="32" ht="42" customHeight="1">
      <c r="A32" s="2" t="inlineStr">
        <is>
          <t>CHAB-031</t>
        </is>
      </c>
      <c r="B32" s="2" t="n">
        <v>2026</v>
      </c>
      <c r="C32" s="2" t="inlineStr">
        <is>
          <t>Guideline-Derived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inlineStr">
        <is>
          <t>Yes</t>
        </is>
      </c>
      <c r="AN32" s="2" t="inlineStr">
        <is>
          <t>Minimum 2</t>
        </is>
      </c>
      <c r="AO32" s="2" t="inlineStr">
        <is>
          <t>Yes</t>
        </is>
      </c>
      <c r="AP32" s="2" t="inlineStr">
        <is>
          <t>Pending</t>
        </is>
      </c>
      <c r="AQ32" s="2" t="inlineStr">
        <is>
          <t>Pending</t>
        </is>
      </c>
      <c r="AR32" s="2" t="n"/>
      <c r="AS32" s="2" t="n"/>
      <c r="AT32" s="2" t="n"/>
      <c r="AU32" s="2" t="n"/>
      <c r="AV32" s="2" t="n"/>
      <c r="AW32" s="2" t="inlineStr"/>
      <c r="AX32" s="2" t="inlineStr"/>
      <c r="AY32" s="2" t="inlineStr"/>
      <c r="AZ32" s="2" t="inlineStr"/>
      <c r="BA32" s="2">
        <f>IF(COUNTA(AS32:AZ32)=0,"",SUM(AS32:AZ32))</f>
        <v/>
      </c>
      <c r="BB32" s="2">
        <f>IF(BA32="","",IF(BA32&lt;=5,"Tier 1",IF(BA32&lt;=10,"Tier 2","Tier 3")))</f>
        <v/>
      </c>
      <c r="BC32" s="2" t="inlineStr"/>
      <c r="BD32" s="2" t="inlineStr"/>
      <c r="BE32" s="2">
        <f>IF(COUNTA(AX32:BE32)=0,"",SUM(AX32:BE32))</f>
        <v/>
      </c>
      <c r="BF32" s="2">
        <f>IF(BE32="","",IF(BE32&lt;=5,"Tier 1",IF(BE32&lt;=10,"Tier 2","Tier 3")))</f>
        <v/>
      </c>
      <c r="BG32" s="2" t="n"/>
      <c r="BH32" s="2" t="n"/>
      <c r="BI32" s="2" t="n"/>
      <c r="BJ32" s="2" t="n"/>
      <c r="BK32" s="2" t="n"/>
      <c r="BL32" s="2" t="inlineStr">
        <is>
          <t>No</t>
        </is>
      </c>
      <c r="BM32" s="2" t="n"/>
      <c r="BN32" s="2" t="inlineStr">
        <is>
          <t>No</t>
        </is>
      </c>
      <c r="BO32" s="2">
        <f>IF(COUNTA(C32,D32,F32,G32,H32,J32,L32,N32,O32,AG32,AH32,AI32,AJ32,AK32,AQ32,AR32)=16,"COMPLETE","INCOMPLETE")</f>
        <v/>
      </c>
      <c r="BP32" s="2" t="n"/>
    </row>
    <row r="33" ht="42" customHeight="1">
      <c r="A33" s="2" t="inlineStr">
        <is>
          <t>CHAB-032</t>
        </is>
      </c>
      <c r="B33" s="2" t="n">
        <v>2026</v>
      </c>
      <c r="C33" s="2" t="inlineStr">
        <is>
          <t>Guideline-Derived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inlineStr">
        <is>
          <t>Yes</t>
        </is>
      </c>
      <c r="AN33" s="2" t="inlineStr">
        <is>
          <t>Minimum 2</t>
        </is>
      </c>
      <c r="AO33" s="2" t="inlineStr">
        <is>
          <t>Yes</t>
        </is>
      </c>
      <c r="AP33" s="2" t="inlineStr">
        <is>
          <t>Pending</t>
        </is>
      </c>
      <c r="AQ33" s="2" t="inlineStr">
        <is>
          <t>Pending</t>
        </is>
      </c>
      <c r="AR33" s="2" t="n"/>
      <c r="AS33" s="2" t="n"/>
      <c r="AT33" s="2" t="n"/>
      <c r="AU33" s="2" t="n"/>
      <c r="AV33" s="2" t="n"/>
      <c r="AW33" s="2" t="inlineStr"/>
      <c r="AX33" s="2" t="inlineStr"/>
      <c r="AY33" s="2" t="inlineStr"/>
      <c r="AZ33" s="2" t="inlineStr"/>
      <c r="BA33" s="2">
        <f>IF(COUNTA(AS33:AZ33)=0,"",SUM(AS33:AZ33))</f>
        <v/>
      </c>
      <c r="BB33" s="2">
        <f>IF(BA33="","",IF(BA33&lt;=5,"Tier 1",IF(BA33&lt;=10,"Tier 2","Tier 3")))</f>
        <v/>
      </c>
      <c r="BC33" s="2" t="inlineStr"/>
      <c r="BD33" s="2" t="inlineStr"/>
      <c r="BE33" s="2">
        <f>IF(COUNTA(AX33:BE33)=0,"",SUM(AX33:BE33))</f>
        <v/>
      </c>
      <c r="BF33" s="2">
        <f>IF(BE33="","",IF(BE33&lt;=5,"Tier 1",IF(BE33&lt;=10,"Tier 2","Tier 3")))</f>
        <v/>
      </c>
      <c r="BG33" s="2" t="n"/>
      <c r="BH33" s="2" t="n"/>
      <c r="BI33" s="2" t="n"/>
      <c r="BJ33" s="2" t="n"/>
      <c r="BK33" s="2" t="n"/>
      <c r="BL33" s="2" t="inlineStr">
        <is>
          <t>No</t>
        </is>
      </c>
      <c r="BM33" s="2" t="n"/>
      <c r="BN33" s="2" t="inlineStr">
        <is>
          <t>No</t>
        </is>
      </c>
      <c r="BO33" s="2">
        <f>IF(COUNTA(C33,D33,F33,G33,H33,J33,L33,N33,O33,AG33,AH33,AI33,AJ33,AK33,AQ33,AR33)=16,"COMPLETE","INCOMPLETE")</f>
        <v/>
      </c>
      <c r="BP33" s="2" t="n"/>
    </row>
    <row r="34" ht="42" customHeight="1">
      <c r="A34" s="2" t="inlineStr">
        <is>
          <t>CHAB-033</t>
        </is>
      </c>
      <c r="B34" s="2" t="n">
        <v>2026</v>
      </c>
      <c r="C34" s="2" t="inlineStr">
        <is>
          <t>Guideline-Derived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inlineStr">
        <is>
          <t>Yes</t>
        </is>
      </c>
      <c r="AN34" s="2" t="inlineStr">
        <is>
          <t>Minimum 2</t>
        </is>
      </c>
      <c r="AO34" s="2" t="inlineStr">
        <is>
          <t>Yes</t>
        </is>
      </c>
      <c r="AP34" s="2" t="inlineStr">
        <is>
          <t>Pending</t>
        </is>
      </c>
      <c r="AQ34" s="2" t="inlineStr">
        <is>
          <t>Pending</t>
        </is>
      </c>
      <c r="AR34" s="2" t="n"/>
      <c r="AS34" s="2" t="n"/>
      <c r="AT34" s="2" t="n"/>
      <c r="AU34" s="2" t="n"/>
      <c r="AV34" s="2" t="n"/>
      <c r="AW34" s="2" t="inlineStr"/>
      <c r="AX34" s="2" t="inlineStr"/>
      <c r="AY34" s="2" t="inlineStr"/>
      <c r="AZ34" s="2" t="inlineStr"/>
      <c r="BA34" s="2">
        <f>IF(COUNTA(AS34:AZ34)=0,"",SUM(AS34:AZ34))</f>
        <v/>
      </c>
      <c r="BB34" s="2">
        <f>IF(BA34="","",IF(BA34&lt;=5,"Tier 1",IF(BA34&lt;=10,"Tier 2","Tier 3")))</f>
        <v/>
      </c>
      <c r="BC34" s="2" t="inlineStr"/>
      <c r="BD34" s="2" t="inlineStr"/>
      <c r="BE34" s="2">
        <f>IF(COUNTA(AX34:BE34)=0,"",SUM(AX34:BE34))</f>
        <v/>
      </c>
      <c r="BF34" s="2">
        <f>IF(BE34="","",IF(BE34&lt;=5,"Tier 1",IF(BE34&lt;=10,"Tier 2","Tier 3")))</f>
        <v/>
      </c>
      <c r="BG34" s="2" t="n"/>
      <c r="BH34" s="2" t="n"/>
      <c r="BI34" s="2" t="n"/>
      <c r="BJ34" s="2" t="n"/>
      <c r="BK34" s="2" t="n"/>
      <c r="BL34" s="2" t="inlineStr">
        <is>
          <t>No</t>
        </is>
      </c>
      <c r="BM34" s="2" t="n"/>
      <c r="BN34" s="2" t="inlineStr">
        <is>
          <t>No</t>
        </is>
      </c>
      <c r="BO34" s="2">
        <f>IF(COUNTA(C34,D34,F34,G34,H34,J34,L34,N34,O34,AG34,AH34,AI34,AJ34,AK34,AQ34,AR34)=16,"COMPLETE","INCOMPLETE")</f>
        <v/>
      </c>
      <c r="BP34" s="2" t="n"/>
    </row>
    <row r="35" ht="42" customHeight="1">
      <c r="A35" s="2" t="inlineStr">
        <is>
          <t>CHAB-034</t>
        </is>
      </c>
      <c r="B35" s="2" t="n">
        <v>2026</v>
      </c>
      <c r="C35" s="2" t="inlineStr">
        <is>
          <t>Guideline-Derived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inlineStr">
        <is>
          <t>Yes</t>
        </is>
      </c>
      <c r="AN35" s="2" t="inlineStr">
        <is>
          <t>Minimum 2</t>
        </is>
      </c>
      <c r="AO35" s="2" t="inlineStr">
        <is>
          <t>Yes</t>
        </is>
      </c>
      <c r="AP35" s="2" t="inlineStr">
        <is>
          <t>Pending</t>
        </is>
      </c>
      <c r="AQ35" s="2" t="inlineStr">
        <is>
          <t>Pending</t>
        </is>
      </c>
      <c r="AR35" s="2" t="n"/>
      <c r="AS35" s="2" t="n"/>
      <c r="AT35" s="2" t="n"/>
      <c r="AU35" s="2" t="n"/>
      <c r="AV35" s="2" t="n"/>
      <c r="AW35" s="2" t="inlineStr"/>
      <c r="AX35" s="2" t="inlineStr"/>
      <c r="AY35" s="2" t="inlineStr"/>
      <c r="AZ35" s="2" t="inlineStr"/>
      <c r="BA35" s="2">
        <f>IF(COUNTA(AS35:AZ35)=0,"",SUM(AS35:AZ35))</f>
        <v/>
      </c>
      <c r="BB35" s="2">
        <f>IF(BA35="","",IF(BA35&lt;=5,"Tier 1",IF(BA35&lt;=10,"Tier 2","Tier 3")))</f>
        <v/>
      </c>
      <c r="BC35" s="2" t="inlineStr"/>
      <c r="BD35" s="2" t="inlineStr"/>
      <c r="BE35" s="2">
        <f>IF(COUNTA(AX35:BE35)=0,"",SUM(AX35:BE35))</f>
        <v/>
      </c>
      <c r="BF35" s="2">
        <f>IF(BE35="","",IF(BE35&lt;=5,"Tier 1",IF(BE35&lt;=10,"Tier 2","Tier 3")))</f>
        <v/>
      </c>
      <c r="BG35" s="2" t="n"/>
      <c r="BH35" s="2" t="n"/>
      <c r="BI35" s="2" t="n"/>
      <c r="BJ35" s="2" t="n"/>
      <c r="BK35" s="2" t="n"/>
      <c r="BL35" s="2" t="inlineStr">
        <is>
          <t>No</t>
        </is>
      </c>
      <c r="BM35" s="2" t="n"/>
      <c r="BN35" s="2" t="inlineStr">
        <is>
          <t>No</t>
        </is>
      </c>
      <c r="BO35" s="2">
        <f>IF(COUNTA(C35,D35,F35,G35,H35,J35,L35,N35,O35,AG35,AH35,AI35,AJ35,AK35,AQ35,AR35)=16,"COMPLETE","INCOMPLETE")</f>
        <v/>
      </c>
      <c r="BP35" s="2" t="n"/>
    </row>
    <row r="36" ht="42" customHeight="1">
      <c r="A36" s="2" t="inlineStr">
        <is>
          <t>CHAB-035</t>
        </is>
      </c>
      <c r="B36" s="2" t="n">
        <v>2026</v>
      </c>
      <c r="C36" s="2" t="inlineStr">
        <is>
          <t>Guideline-Derived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inlineStr">
        <is>
          <t>Yes</t>
        </is>
      </c>
      <c r="AN36" s="2" t="inlineStr">
        <is>
          <t>Minimum 2</t>
        </is>
      </c>
      <c r="AO36" s="2" t="inlineStr">
        <is>
          <t>Yes</t>
        </is>
      </c>
      <c r="AP36" s="2" t="inlineStr">
        <is>
          <t>Pending</t>
        </is>
      </c>
      <c r="AQ36" s="2" t="inlineStr">
        <is>
          <t>Pending</t>
        </is>
      </c>
      <c r="AR36" s="2" t="n"/>
      <c r="AS36" s="2" t="n"/>
      <c r="AT36" s="2" t="n"/>
      <c r="AU36" s="2" t="n"/>
      <c r="AV36" s="2" t="n"/>
      <c r="AW36" s="2" t="inlineStr"/>
      <c r="AX36" s="2" t="inlineStr"/>
      <c r="AY36" s="2" t="inlineStr"/>
      <c r="AZ36" s="2" t="inlineStr"/>
      <c r="BA36" s="2">
        <f>IF(COUNTA(AS36:AZ36)=0,"",SUM(AS36:AZ36))</f>
        <v/>
      </c>
      <c r="BB36" s="2">
        <f>IF(BA36="","",IF(BA36&lt;=5,"Tier 1",IF(BA36&lt;=10,"Tier 2","Tier 3")))</f>
        <v/>
      </c>
      <c r="BC36" s="2" t="inlineStr"/>
      <c r="BD36" s="2" t="inlineStr"/>
      <c r="BE36" s="2">
        <f>IF(COUNTA(AX36:BE36)=0,"",SUM(AX36:BE36))</f>
        <v/>
      </c>
      <c r="BF36" s="2">
        <f>IF(BE36="","",IF(BE36&lt;=5,"Tier 1",IF(BE36&lt;=10,"Tier 2","Tier 3")))</f>
        <v/>
      </c>
      <c r="BG36" s="2" t="n"/>
      <c r="BH36" s="2" t="n"/>
      <c r="BI36" s="2" t="n"/>
      <c r="BJ36" s="2" t="n"/>
      <c r="BK36" s="2" t="n"/>
      <c r="BL36" s="2" t="inlineStr">
        <is>
          <t>No</t>
        </is>
      </c>
      <c r="BM36" s="2" t="n"/>
      <c r="BN36" s="2" t="inlineStr">
        <is>
          <t>No</t>
        </is>
      </c>
      <c r="BO36" s="2">
        <f>IF(COUNTA(C36,D36,F36,G36,H36,J36,L36,N36,O36,AG36,AH36,AI36,AJ36,AK36,AQ36,AR36)=16,"COMPLETE","INCOMPLETE")</f>
        <v/>
      </c>
      <c r="BP36" s="2" t="n"/>
    </row>
    <row r="37" ht="42" customHeight="1">
      <c r="A37" s="2" t="inlineStr">
        <is>
          <t>CHAB-036</t>
        </is>
      </c>
      <c r="B37" s="2" t="n">
        <v>2026</v>
      </c>
      <c r="C37" s="2" t="inlineStr">
        <is>
          <t>Guideline-Derived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inlineStr">
        <is>
          <t>Yes</t>
        </is>
      </c>
      <c r="AN37" s="2" t="inlineStr">
        <is>
          <t>Minimum 2</t>
        </is>
      </c>
      <c r="AO37" s="2" t="inlineStr">
        <is>
          <t>Yes</t>
        </is>
      </c>
      <c r="AP37" s="2" t="inlineStr">
        <is>
          <t>Pending</t>
        </is>
      </c>
      <c r="AQ37" s="2" t="inlineStr">
        <is>
          <t>Pending</t>
        </is>
      </c>
      <c r="AR37" s="2" t="n"/>
      <c r="AS37" s="2" t="n"/>
      <c r="AT37" s="2" t="n"/>
      <c r="AU37" s="2" t="n"/>
      <c r="AV37" s="2" t="n"/>
      <c r="AW37" s="2" t="inlineStr"/>
      <c r="AX37" s="2" t="inlineStr"/>
      <c r="AY37" s="2" t="inlineStr"/>
      <c r="AZ37" s="2" t="inlineStr"/>
      <c r="BA37" s="2">
        <f>IF(COUNTA(AS37:AZ37)=0,"",SUM(AS37:AZ37))</f>
        <v/>
      </c>
      <c r="BB37" s="2">
        <f>IF(BA37="","",IF(BA37&lt;=5,"Tier 1",IF(BA37&lt;=10,"Tier 2","Tier 3")))</f>
        <v/>
      </c>
      <c r="BC37" s="2" t="inlineStr"/>
      <c r="BD37" s="2" t="inlineStr"/>
      <c r="BE37" s="2">
        <f>IF(COUNTA(AX37:BE37)=0,"",SUM(AX37:BE37))</f>
        <v/>
      </c>
      <c r="BF37" s="2">
        <f>IF(BE37="","",IF(BE37&lt;=5,"Tier 1",IF(BE37&lt;=10,"Tier 2","Tier 3")))</f>
        <v/>
      </c>
      <c r="BG37" s="2" t="n"/>
      <c r="BH37" s="2" t="n"/>
      <c r="BI37" s="2" t="n"/>
      <c r="BJ37" s="2" t="n"/>
      <c r="BK37" s="2" t="n"/>
      <c r="BL37" s="2" t="inlineStr">
        <is>
          <t>No</t>
        </is>
      </c>
      <c r="BM37" s="2" t="n"/>
      <c r="BN37" s="2" t="inlineStr">
        <is>
          <t>No</t>
        </is>
      </c>
      <c r="BO37" s="2">
        <f>IF(COUNTA(C37,D37,F37,G37,H37,J37,L37,N37,O37,AG37,AH37,AI37,AJ37,AK37,AQ37,AR37)=16,"COMPLETE","INCOMPLETE")</f>
        <v/>
      </c>
      <c r="BP37" s="2" t="n"/>
    </row>
    <row r="38" ht="42" customHeight="1">
      <c r="A38" s="2" t="inlineStr">
        <is>
          <t>CHAB-037</t>
        </is>
      </c>
      <c r="B38" s="2" t="n">
        <v>2026</v>
      </c>
      <c r="C38" s="2" t="inlineStr">
        <is>
          <t>Guideline-Derived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inlineStr">
        <is>
          <t>Yes</t>
        </is>
      </c>
      <c r="AN38" s="2" t="inlineStr">
        <is>
          <t>Minimum 2</t>
        </is>
      </c>
      <c r="AO38" s="2" t="inlineStr">
        <is>
          <t>Yes</t>
        </is>
      </c>
      <c r="AP38" s="2" t="inlineStr">
        <is>
          <t>Pending</t>
        </is>
      </c>
      <c r="AQ38" s="2" t="inlineStr">
        <is>
          <t>Pending</t>
        </is>
      </c>
      <c r="AR38" s="2" t="n"/>
      <c r="AS38" s="2" t="n"/>
      <c r="AT38" s="2" t="n"/>
      <c r="AU38" s="2" t="n"/>
      <c r="AV38" s="2" t="n"/>
      <c r="AW38" s="2" t="inlineStr"/>
      <c r="AX38" s="2" t="inlineStr"/>
      <c r="AY38" s="2" t="inlineStr"/>
      <c r="AZ38" s="2" t="inlineStr"/>
      <c r="BA38" s="2">
        <f>IF(COUNTA(AS38:AZ38)=0,"",SUM(AS38:AZ38))</f>
        <v/>
      </c>
      <c r="BB38" s="2">
        <f>IF(BA38="","",IF(BA38&lt;=5,"Tier 1",IF(BA38&lt;=10,"Tier 2","Tier 3")))</f>
        <v/>
      </c>
      <c r="BC38" s="2" t="inlineStr"/>
      <c r="BD38" s="2" t="inlineStr"/>
      <c r="BE38" s="2">
        <f>IF(COUNTA(AX38:BE38)=0,"",SUM(AX38:BE38))</f>
        <v/>
      </c>
      <c r="BF38" s="2">
        <f>IF(BE38="","",IF(BE38&lt;=5,"Tier 1",IF(BE38&lt;=10,"Tier 2","Tier 3")))</f>
        <v/>
      </c>
      <c r="BG38" s="2" t="n"/>
      <c r="BH38" s="2" t="n"/>
      <c r="BI38" s="2" t="n"/>
      <c r="BJ38" s="2" t="n"/>
      <c r="BK38" s="2" t="n"/>
      <c r="BL38" s="2" t="inlineStr">
        <is>
          <t>No</t>
        </is>
      </c>
      <c r="BM38" s="2" t="n"/>
      <c r="BN38" s="2" t="inlineStr">
        <is>
          <t>No</t>
        </is>
      </c>
      <c r="BO38" s="2">
        <f>IF(COUNTA(C38,D38,F38,G38,H38,J38,L38,N38,O38,AG38,AH38,AI38,AJ38,AK38,AQ38,AR38)=16,"COMPLETE","INCOMPLETE")</f>
        <v/>
      </c>
      <c r="BP38" s="2" t="n"/>
    </row>
    <row r="39" ht="42" customHeight="1">
      <c r="A39" s="2" t="inlineStr">
        <is>
          <t>CHAB-038</t>
        </is>
      </c>
      <c r="B39" s="2" t="n">
        <v>2026</v>
      </c>
      <c r="C39" s="2" t="inlineStr">
        <is>
          <t>Guideline-Derived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inlineStr">
        <is>
          <t>Yes</t>
        </is>
      </c>
      <c r="AN39" s="2" t="inlineStr">
        <is>
          <t>Minimum 2</t>
        </is>
      </c>
      <c r="AO39" s="2" t="inlineStr">
        <is>
          <t>Yes</t>
        </is>
      </c>
      <c r="AP39" s="2" t="inlineStr">
        <is>
          <t>Pending</t>
        </is>
      </c>
      <c r="AQ39" s="2" t="inlineStr">
        <is>
          <t>Pending</t>
        </is>
      </c>
      <c r="AR39" s="2" t="n"/>
      <c r="AS39" s="2" t="n"/>
      <c r="AT39" s="2" t="n"/>
      <c r="AU39" s="2" t="n"/>
      <c r="AV39" s="2" t="n"/>
      <c r="AW39" s="2" t="inlineStr"/>
      <c r="AX39" s="2" t="inlineStr"/>
      <c r="AY39" s="2" t="inlineStr"/>
      <c r="AZ39" s="2" t="inlineStr"/>
      <c r="BA39" s="2">
        <f>IF(COUNTA(AS39:AZ39)=0,"",SUM(AS39:AZ39))</f>
        <v/>
      </c>
      <c r="BB39" s="2">
        <f>IF(BA39="","",IF(BA39&lt;=5,"Tier 1",IF(BA39&lt;=10,"Tier 2","Tier 3")))</f>
        <v/>
      </c>
      <c r="BC39" s="2" t="inlineStr"/>
      <c r="BD39" s="2" t="inlineStr"/>
      <c r="BE39" s="2">
        <f>IF(COUNTA(AX39:BE39)=0,"",SUM(AX39:BE39))</f>
        <v/>
      </c>
      <c r="BF39" s="2">
        <f>IF(BE39="","",IF(BE39&lt;=5,"Tier 1",IF(BE39&lt;=10,"Tier 2","Tier 3")))</f>
        <v/>
      </c>
      <c r="BG39" s="2" t="n"/>
      <c r="BH39" s="2" t="n"/>
      <c r="BI39" s="2" t="n"/>
      <c r="BJ39" s="2" t="n"/>
      <c r="BK39" s="2" t="n"/>
      <c r="BL39" s="2" t="inlineStr">
        <is>
          <t>No</t>
        </is>
      </c>
      <c r="BM39" s="2" t="n"/>
      <c r="BN39" s="2" t="inlineStr">
        <is>
          <t>No</t>
        </is>
      </c>
      <c r="BO39" s="2">
        <f>IF(COUNTA(C39,D39,F39,G39,H39,J39,L39,N39,O39,AG39,AH39,AI39,AJ39,AK39,AQ39,AR39)=16,"COMPLETE","INCOMPLETE")</f>
        <v/>
      </c>
      <c r="BP39" s="2" t="n"/>
    </row>
    <row r="40" ht="42" customHeight="1">
      <c r="A40" s="2" t="inlineStr">
        <is>
          <t>CHAB-039</t>
        </is>
      </c>
      <c r="B40" s="2" t="n">
        <v>2026</v>
      </c>
      <c r="C40" s="2" t="inlineStr">
        <is>
          <t>Guideline-Derived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inlineStr">
        <is>
          <t>Yes</t>
        </is>
      </c>
      <c r="AN40" s="2" t="inlineStr">
        <is>
          <t>Minimum 2</t>
        </is>
      </c>
      <c r="AO40" s="2" t="inlineStr">
        <is>
          <t>Yes</t>
        </is>
      </c>
      <c r="AP40" s="2" t="inlineStr">
        <is>
          <t>Pending</t>
        </is>
      </c>
      <c r="AQ40" s="2" t="inlineStr">
        <is>
          <t>Pending</t>
        </is>
      </c>
      <c r="AR40" s="2" t="n"/>
      <c r="AS40" s="2" t="n"/>
      <c r="AT40" s="2" t="n"/>
      <c r="AU40" s="2" t="n"/>
      <c r="AV40" s="2" t="n"/>
      <c r="AW40" s="2" t="inlineStr"/>
      <c r="AX40" s="2" t="inlineStr"/>
      <c r="AY40" s="2" t="inlineStr"/>
      <c r="AZ40" s="2" t="inlineStr"/>
      <c r="BA40" s="2">
        <f>IF(COUNTA(AS40:AZ40)=0,"",SUM(AS40:AZ40))</f>
        <v/>
      </c>
      <c r="BB40" s="2">
        <f>IF(BA40="","",IF(BA40&lt;=5,"Tier 1",IF(BA40&lt;=10,"Tier 2","Tier 3")))</f>
        <v/>
      </c>
      <c r="BC40" s="2" t="inlineStr"/>
      <c r="BD40" s="2" t="inlineStr"/>
      <c r="BE40" s="2">
        <f>IF(COUNTA(AX40:BE40)=0,"",SUM(AX40:BE40))</f>
        <v/>
      </c>
      <c r="BF40" s="2">
        <f>IF(BE40="","",IF(BE40&lt;=5,"Tier 1",IF(BE40&lt;=10,"Tier 2","Tier 3")))</f>
        <v/>
      </c>
      <c r="BG40" s="2" t="n"/>
      <c r="BH40" s="2" t="n"/>
      <c r="BI40" s="2" t="n"/>
      <c r="BJ40" s="2" t="n"/>
      <c r="BK40" s="2" t="n"/>
      <c r="BL40" s="2" t="inlineStr">
        <is>
          <t>No</t>
        </is>
      </c>
      <c r="BM40" s="2" t="n"/>
      <c r="BN40" s="2" t="inlineStr">
        <is>
          <t>No</t>
        </is>
      </c>
      <c r="BO40" s="2">
        <f>IF(COUNTA(C40,D40,F40,G40,H40,J40,L40,N40,O40,AG40,AH40,AI40,AJ40,AK40,AQ40,AR40)=16,"COMPLETE","INCOMPLETE")</f>
        <v/>
      </c>
      <c r="BP40" s="2" t="n"/>
    </row>
    <row r="41" ht="42" customHeight="1">
      <c r="A41" s="2" t="inlineStr">
        <is>
          <t>CHAB-040</t>
        </is>
      </c>
      <c r="B41" s="2" t="n">
        <v>2026</v>
      </c>
      <c r="C41" s="2" t="inlineStr">
        <is>
          <t>Guideline-Derived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inlineStr">
        <is>
          <t>Yes</t>
        </is>
      </c>
      <c r="AN41" s="2" t="inlineStr">
        <is>
          <t>Minimum 2</t>
        </is>
      </c>
      <c r="AO41" s="2" t="inlineStr">
        <is>
          <t>Yes</t>
        </is>
      </c>
      <c r="AP41" s="2" t="inlineStr">
        <is>
          <t>Pending</t>
        </is>
      </c>
      <c r="AQ41" s="2" t="inlineStr">
        <is>
          <t>Pending</t>
        </is>
      </c>
      <c r="AR41" s="2" t="n"/>
      <c r="AS41" s="2" t="n"/>
      <c r="AT41" s="2" t="n"/>
      <c r="AU41" s="2" t="n"/>
      <c r="AV41" s="2" t="n"/>
      <c r="AW41" s="2" t="inlineStr"/>
      <c r="AX41" s="2" t="inlineStr"/>
      <c r="AY41" s="2" t="inlineStr"/>
      <c r="AZ41" s="2" t="inlineStr"/>
      <c r="BA41" s="2">
        <f>IF(COUNTA(AS41:AZ41)=0,"",SUM(AS41:AZ41))</f>
        <v/>
      </c>
      <c r="BB41" s="2">
        <f>IF(BA41="","",IF(BA41&lt;=5,"Tier 1",IF(BA41&lt;=10,"Tier 2","Tier 3")))</f>
        <v/>
      </c>
      <c r="BC41" s="2" t="inlineStr"/>
      <c r="BD41" s="2" t="inlineStr"/>
      <c r="BE41" s="2">
        <f>IF(COUNTA(AX41:BE41)=0,"",SUM(AX41:BE41))</f>
        <v/>
      </c>
      <c r="BF41" s="2">
        <f>IF(BE41="","",IF(BE41&lt;=5,"Tier 1",IF(BE41&lt;=10,"Tier 2","Tier 3")))</f>
        <v/>
      </c>
      <c r="BG41" s="2" t="n"/>
      <c r="BH41" s="2" t="n"/>
      <c r="BI41" s="2" t="n"/>
      <c r="BJ41" s="2" t="n"/>
      <c r="BK41" s="2" t="n"/>
      <c r="BL41" s="2" t="inlineStr">
        <is>
          <t>No</t>
        </is>
      </c>
      <c r="BM41" s="2" t="n"/>
      <c r="BN41" s="2" t="inlineStr">
        <is>
          <t>No</t>
        </is>
      </c>
      <c r="BO41" s="2">
        <f>IF(COUNTA(C41,D41,F41,G41,H41,J41,L41,N41,O41,AG41,AH41,AI41,AJ41,AK41,AQ41,AR41)=16,"COMPLETE","INCOMPLETE")</f>
        <v/>
      </c>
      <c r="BP41" s="2" t="n"/>
    </row>
    <row r="42" ht="42" customHeight="1">
      <c r="A42" s="2" t="inlineStr">
        <is>
          <t>CHAB-041</t>
        </is>
      </c>
      <c r="B42" s="2" t="n">
        <v>2026</v>
      </c>
      <c r="C42" s="2" t="inlineStr">
        <is>
          <t>Guideline-Derived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inlineStr">
        <is>
          <t>Yes</t>
        </is>
      </c>
      <c r="AN42" s="2" t="inlineStr">
        <is>
          <t>Minimum 2</t>
        </is>
      </c>
      <c r="AO42" s="2" t="inlineStr">
        <is>
          <t>Yes</t>
        </is>
      </c>
      <c r="AP42" s="2" t="inlineStr">
        <is>
          <t>Pending</t>
        </is>
      </c>
      <c r="AQ42" s="2" t="inlineStr">
        <is>
          <t>Pending</t>
        </is>
      </c>
      <c r="AR42" s="2" t="n"/>
      <c r="AS42" s="2" t="n"/>
      <c r="AT42" s="2" t="n"/>
      <c r="AU42" s="2" t="n"/>
      <c r="AV42" s="2" t="n"/>
      <c r="AW42" s="2" t="inlineStr"/>
      <c r="AX42" s="2" t="inlineStr"/>
      <c r="AY42" s="2" t="inlineStr"/>
      <c r="AZ42" s="2" t="inlineStr"/>
      <c r="BA42" s="2">
        <f>IF(COUNTA(AS42:AZ42)=0,"",SUM(AS42:AZ42))</f>
        <v/>
      </c>
      <c r="BB42" s="2">
        <f>IF(BA42="","",IF(BA42&lt;=5,"Tier 1",IF(BA42&lt;=10,"Tier 2","Tier 3")))</f>
        <v/>
      </c>
      <c r="BC42" s="2" t="inlineStr"/>
      <c r="BD42" s="2" t="inlineStr"/>
      <c r="BE42" s="2">
        <f>IF(COUNTA(AX42:BE42)=0,"",SUM(AX42:BE42))</f>
        <v/>
      </c>
      <c r="BF42" s="2">
        <f>IF(BE42="","",IF(BE42&lt;=5,"Tier 1",IF(BE42&lt;=10,"Tier 2","Tier 3")))</f>
        <v/>
      </c>
      <c r="BG42" s="2" t="n"/>
      <c r="BH42" s="2" t="n"/>
      <c r="BI42" s="2" t="n"/>
      <c r="BJ42" s="2" t="n"/>
      <c r="BK42" s="2" t="n"/>
      <c r="BL42" s="2" t="inlineStr">
        <is>
          <t>No</t>
        </is>
      </c>
      <c r="BM42" s="2" t="n"/>
      <c r="BN42" s="2" t="inlineStr">
        <is>
          <t>No</t>
        </is>
      </c>
      <c r="BO42" s="2">
        <f>IF(COUNTA(C42,D42,F42,G42,H42,J42,L42,N42,O42,AG42,AH42,AI42,AJ42,AK42,AQ42,AR42)=16,"COMPLETE","INCOMPLETE")</f>
        <v/>
      </c>
      <c r="BP42" s="2" t="n"/>
    </row>
    <row r="43" ht="42" customHeight="1">
      <c r="A43" s="2" t="inlineStr">
        <is>
          <t>CHAB-042</t>
        </is>
      </c>
      <c r="B43" s="2" t="n">
        <v>2026</v>
      </c>
      <c r="C43" s="2" t="inlineStr">
        <is>
          <t>Guideline-Derived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inlineStr">
        <is>
          <t>Yes</t>
        </is>
      </c>
      <c r="AN43" s="2" t="inlineStr">
        <is>
          <t>Minimum 2</t>
        </is>
      </c>
      <c r="AO43" s="2" t="inlineStr">
        <is>
          <t>Yes</t>
        </is>
      </c>
      <c r="AP43" s="2" t="inlineStr">
        <is>
          <t>Pending</t>
        </is>
      </c>
      <c r="AQ43" s="2" t="inlineStr">
        <is>
          <t>Pending</t>
        </is>
      </c>
      <c r="AR43" s="2" t="n"/>
      <c r="AS43" s="2" t="n"/>
      <c r="AT43" s="2" t="n"/>
      <c r="AU43" s="2" t="n"/>
      <c r="AV43" s="2" t="n"/>
      <c r="AW43" s="2" t="inlineStr"/>
      <c r="AX43" s="2" t="inlineStr"/>
      <c r="AY43" s="2" t="inlineStr"/>
      <c r="AZ43" s="2" t="inlineStr"/>
      <c r="BA43" s="2">
        <f>IF(COUNTA(AS43:AZ43)=0,"",SUM(AS43:AZ43))</f>
        <v/>
      </c>
      <c r="BB43" s="2">
        <f>IF(BA43="","",IF(BA43&lt;=5,"Tier 1",IF(BA43&lt;=10,"Tier 2","Tier 3")))</f>
        <v/>
      </c>
      <c r="BC43" s="2" t="inlineStr"/>
      <c r="BD43" s="2" t="inlineStr"/>
      <c r="BE43" s="2">
        <f>IF(COUNTA(AX43:BE43)=0,"",SUM(AX43:BE43))</f>
        <v/>
      </c>
      <c r="BF43" s="2">
        <f>IF(BE43="","",IF(BE43&lt;=5,"Tier 1",IF(BE43&lt;=10,"Tier 2","Tier 3")))</f>
        <v/>
      </c>
      <c r="BG43" s="2" t="n"/>
      <c r="BH43" s="2" t="n"/>
      <c r="BI43" s="2" t="n"/>
      <c r="BJ43" s="2" t="n"/>
      <c r="BK43" s="2" t="n"/>
      <c r="BL43" s="2" t="inlineStr">
        <is>
          <t>No</t>
        </is>
      </c>
      <c r="BM43" s="2" t="n"/>
      <c r="BN43" s="2" t="inlineStr">
        <is>
          <t>No</t>
        </is>
      </c>
      <c r="BO43" s="2">
        <f>IF(COUNTA(C43,D43,F43,G43,H43,J43,L43,N43,O43,AG43,AH43,AI43,AJ43,AK43,AQ43,AR43)=16,"COMPLETE","INCOMPLETE")</f>
        <v/>
      </c>
      <c r="BP43" s="2" t="n"/>
    </row>
    <row r="44" ht="42" customHeight="1">
      <c r="A44" s="2" t="inlineStr">
        <is>
          <t>CHAB-043</t>
        </is>
      </c>
      <c r="B44" s="2" t="n">
        <v>2026</v>
      </c>
      <c r="C44" s="2" t="inlineStr">
        <is>
          <t>Guideline-Derived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inlineStr">
        <is>
          <t>Yes</t>
        </is>
      </c>
      <c r="AN44" s="2" t="inlineStr">
        <is>
          <t>Minimum 2</t>
        </is>
      </c>
      <c r="AO44" s="2" t="inlineStr">
        <is>
          <t>Yes</t>
        </is>
      </c>
      <c r="AP44" s="2" t="inlineStr">
        <is>
          <t>Pending</t>
        </is>
      </c>
      <c r="AQ44" s="2" t="inlineStr">
        <is>
          <t>Pending</t>
        </is>
      </c>
      <c r="AR44" s="2" t="n"/>
      <c r="AS44" s="2" t="n"/>
      <c r="AT44" s="2" t="n"/>
      <c r="AU44" s="2" t="n"/>
      <c r="AV44" s="2" t="n"/>
      <c r="AW44" s="2" t="inlineStr"/>
      <c r="AX44" s="2" t="inlineStr"/>
      <c r="AY44" s="2" t="inlineStr"/>
      <c r="AZ44" s="2" t="inlineStr"/>
      <c r="BA44" s="2">
        <f>IF(COUNTA(AS44:AZ44)=0,"",SUM(AS44:AZ44))</f>
        <v/>
      </c>
      <c r="BB44" s="2">
        <f>IF(BA44="","",IF(BA44&lt;=5,"Tier 1",IF(BA44&lt;=10,"Tier 2","Tier 3")))</f>
        <v/>
      </c>
      <c r="BC44" s="2" t="inlineStr"/>
      <c r="BD44" s="2" t="inlineStr"/>
      <c r="BE44" s="2">
        <f>IF(COUNTA(AX44:BE44)=0,"",SUM(AX44:BE44))</f>
        <v/>
      </c>
      <c r="BF44" s="2">
        <f>IF(BE44="","",IF(BE44&lt;=5,"Tier 1",IF(BE44&lt;=10,"Tier 2","Tier 3")))</f>
        <v/>
      </c>
      <c r="BG44" s="2" t="n"/>
      <c r="BH44" s="2" t="n"/>
      <c r="BI44" s="2" t="n"/>
      <c r="BJ44" s="2" t="n"/>
      <c r="BK44" s="2" t="n"/>
      <c r="BL44" s="2" t="inlineStr">
        <is>
          <t>No</t>
        </is>
      </c>
      <c r="BM44" s="2" t="n"/>
      <c r="BN44" s="2" t="inlineStr">
        <is>
          <t>No</t>
        </is>
      </c>
      <c r="BO44" s="2">
        <f>IF(COUNTA(C44,D44,F44,G44,H44,J44,L44,N44,O44,AG44,AH44,AI44,AJ44,AK44,AQ44,AR44)=16,"COMPLETE","INCOMPLETE")</f>
        <v/>
      </c>
      <c r="BP44" s="2" t="n"/>
    </row>
    <row r="45" ht="42" customHeight="1">
      <c r="A45" s="2" t="inlineStr">
        <is>
          <t>CHAB-044</t>
        </is>
      </c>
      <c r="B45" s="2" t="n">
        <v>2026</v>
      </c>
      <c r="C45" s="2" t="inlineStr">
        <is>
          <t>Guideline-Derived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inlineStr">
        <is>
          <t>Yes</t>
        </is>
      </c>
      <c r="AN45" s="2" t="inlineStr">
        <is>
          <t>Minimum 2</t>
        </is>
      </c>
      <c r="AO45" s="2" t="inlineStr">
        <is>
          <t>Yes</t>
        </is>
      </c>
      <c r="AP45" s="2" t="inlineStr">
        <is>
          <t>Pending</t>
        </is>
      </c>
      <c r="AQ45" s="2" t="inlineStr">
        <is>
          <t>Pending</t>
        </is>
      </c>
      <c r="AR45" s="2" t="n"/>
      <c r="AS45" s="2" t="n"/>
      <c r="AT45" s="2" t="n"/>
      <c r="AU45" s="2" t="n"/>
      <c r="AV45" s="2" t="n"/>
      <c r="AW45" s="2" t="inlineStr"/>
      <c r="AX45" s="2" t="inlineStr"/>
      <c r="AY45" s="2" t="inlineStr"/>
      <c r="AZ45" s="2" t="inlineStr"/>
      <c r="BA45" s="2">
        <f>IF(COUNTA(AS45:AZ45)=0,"",SUM(AS45:AZ45))</f>
        <v/>
      </c>
      <c r="BB45" s="2">
        <f>IF(BA45="","",IF(BA45&lt;=5,"Tier 1",IF(BA45&lt;=10,"Tier 2","Tier 3")))</f>
        <v/>
      </c>
      <c r="BC45" s="2" t="inlineStr"/>
      <c r="BD45" s="2" t="inlineStr"/>
      <c r="BE45" s="2">
        <f>IF(COUNTA(AX45:BE45)=0,"",SUM(AX45:BE45))</f>
        <v/>
      </c>
      <c r="BF45" s="2">
        <f>IF(BE45="","",IF(BE45&lt;=5,"Tier 1",IF(BE45&lt;=10,"Tier 2","Tier 3")))</f>
        <v/>
      </c>
      <c r="BG45" s="2" t="n"/>
      <c r="BH45" s="2" t="n"/>
      <c r="BI45" s="2" t="n"/>
      <c r="BJ45" s="2" t="n"/>
      <c r="BK45" s="2" t="n"/>
      <c r="BL45" s="2" t="inlineStr">
        <is>
          <t>No</t>
        </is>
      </c>
      <c r="BM45" s="2" t="n"/>
      <c r="BN45" s="2" t="inlineStr">
        <is>
          <t>No</t>
        </is>
      </c>
      <c r="BO45" s="2">
        <f>IF(COUNTA(C45,D45,F45,G45,H45,J45,L45,N45,O45,AG45,AH45,AI45,AJ45,AK45,AQ45,AR45)=16,"COMPLETE","INCOMPLETE")</f>
        <v/>
      </c>
      <c r="BP45" s="2" t="n"/>
    </row>
    <row r="46" ht="42" customHeight="1">
      <c r="A46" s="2" t="inlineStr">
        <is>
          <t>CHAB-045</t>
        </is>
      </c>
      <c r="B46" s="2" t="n">
        <v>2026</v>
      </c>
      <c r="C46" s="2" t="inlineStr">
        <is>
          <t>Guideline-Derived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inlineStr">
        <is>
          <t>Yes</t>
        </is>
      </c>
      <c r="AN46" s="2" t="inlineStr">
        <is>
          <t>Minimum 2</t>
        </is>
      </c>
      <c r="AO46" s="2" t="inlineStr">
        <is>
          <t>Yes</t>
        </is>
      </c>
      <c r="AP46" s="2" t="inlineStr">
        <is>
          <t>Pending</t>
        </is>
      </c>
      <c r="AQ46" s="2" t="inlineStr">
        <is>
          <t>Pending</t>
        </is>
      </c>
      <c r="AR46" s="2" t="n"/>
      <c r="AS46" s="2" t="n"/>
      <c r="AT46" s="2" t="n"/>
      <c r="AU46" s="2" t="n"/>
      <c r="AV46" s="2" t="n"/>
      <c r="AW46" s="2" t="inlineStr"/>
      <c r="AX46" s="2" t="inlineStr"/>
      <c r="AY46" s="2" t="inlineStr"/>
      <c r="AZ46" s="2" t="inlineStr"/>
      <c r="BA46" s="2">
        <f>IF(COUNTA(AS46:AZ46)=0,"",SUM(AS46:AZ46))</f>
        <v/>
      </c>
      <c r="BB46" s="2">
        <f>IF(BA46="","",IF(BA46&lt;=5,"Tier 1",IF(BA46&lt;=10,"Tier 2","Tier 3")))</f>
        <v/>
      </c>
      <c r="BC46" s="2" t="inlineStr"/>
      <c r="BD46" s="2" t="inlineStr"/>
      <c r="BE46" s="2">
        <f>IF(COUNTA(AX46:BE46)=0,"",SUM(AX46:BE46))</f>
        <v/>
      </c>
      <c r="BF46" s="2">
        <f>IF(BE46="","",IF(BE46&lt;=5,"Tier 1",IF(BE46&lt;=10,"Tier 2","Tier 3")))</f>
        <v/>
      </c>
      <c r="BG46" s="2" t="n"/>
      <c r="BH46" s="2" t="n"/>
      <c r="BI46" s="2" t="n"/>
      <c r="BJ46" s="2" t="n"/>
      <c r="BK46" s="2" t="n"/>
      <c r="BL46" s="2" t="inlineStr">
        <is>
          <t>No</t>
        </is>
      </c>
      <c r="BM46" s="2" t="n"/>
      <c r="BN46" s="2" t="inlineStr">
        <is>
          <t>No</t>
        </is>
      </c>
      <c r="BO46" s="2">
        <f>IF(COUNTA(C46,D46,F46,G46,H46,J46,L46,N46,O46,AG46,AH46,AI46,AJ46,AK46,AQ46,AR46)=16,"COMPLETE","INCOMPLETE")</f>
        <v/>
      </c>
      <c r="BP46" s="2" t="n"/>
    </row>
    <row r="47" ht="42" customHeight="1">
      <c r="A47" s="2" t="inlineStr">
        <is>
          <t>CHAB-046</t>
        </is>
      </c>
      <c r="B47" s="2" t="n">
        <v>2026</v>
      </c>
      <c r="C47" s="2" t="inlineStr">
        <is>
          <t>Guideline-Derived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inlineStr">
        <is>
          <t>Yes</t>
        </is>
      </c>
      <c r="AN47" s="2" t="inlineStr">
        <is>
          <t>Minimum 2</t>
        </is>
      </c>
      <c r="AO47" s="2" t="inlineStr">
        <is>
          <t>Yes</t>
        </is>
      </c>
      <c r="AP47" s="2" t="inlineStr">
        <is>
          <t>Pending</t>
        </is>
      </c>
      <c r="AQ47" s="2" t="inlineStr">
        <is>
          <t>Pending</t>
        </is>
      </c>
      <c r="AR47" s="2" t="n"/>
      <c r="AS47" s="2" t="n"/>
      <c r="AT47" s="2" t="n"/>
      <c r="AU47" s="2" t="n"/>
      <c r="AV47" s="2" t="n"/>
      <c r="AW47" s="2" t="inlineStr"/>
      <c r="AX47" s="2" t="inlineStr"/>
      <c r="AY47" s="2" t="inlineStr"/>
      <c r="AZ47" s="2" t="inlineStr"/>
      <c r="BA47" s="2">
        <f>IF(COUNTA(AS47:AZ47)=0,"",SUM(AS47:AZ47))</f>
        <v/>
      </c>
      <c r="BB47" s="2">
        <f>IF(BA47="","",IF(BA47&lt;=5,"Tier 1",IF(BA47&lt;=10,"Tier 2","Tier 3")))</f>
        <v/>
      </c>
      <c r="BC47" s="2" t="inlineStr"/>
      <c r="BD47" s="2" t="inlineStr"/>
      <c r="BE47" s="2">
        <f>IF(COUNTA(AX47:BE47)=0,"",SUM(AX47:BE47))</f>
        <v/>
      </c>
      <c r="BF47" s="2">
        <f>IF(BE47="","",IF(BE47&lt;=5,"Tier 1",IF(BE47&lt;=10,"Tier 2","Tier 3")))</f>
        <v/>
      </c>
      <c r="BG47" s="2" t="n"/>
      <c r="BH47" s="2" t="n"/>
      <c r="BI47" s="2" t="n"/>
      <c r="BJ47" s="2" t="n"/>
      <c r="BK47" s="2" t="n"/>
      <c r="BL47" s="2" t="inlineStr">
        <is>
          <t>No</t>
        </is>
      </c>
      <c r="BM47" s="2" t="n"/>
      <c r="BN47" s="2" t="inlineStr">
        <is>
          <t>No</t>
        </is>
      </c>
      <c r="BO47" s="2">
        <f>IF(COUNTA(C47,D47,F47,G47,H47,J47,L47,N47,O47,AG47,AH47,AI47,AJ47,AK47,AQ47,AR47)=16,"COMPLETE","INCOMPLETE")</f>
        <v/>
      </c>
      <c r="BP47" s="2" t="n"/>
    </row>
    <row r="48" ht="42" customHeight="1">
      <c r="A48" s="2" t="inlineStr">
        <is>
          <t>CHAB-047</t>
        </is>
      </c>
      <c r="B48" s="2" t="n">
        <v>2026</v>
      </c>
      <c r="C48" s="2" t="inlineStr">
        <is>
          <t>Guideline-Derived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inlineStr">
        <is>
          <t>Yes</t>
        </is>
      </c>
      <c r="AN48" s="2" t="inlineStr">
        <is>
          <t>Minimum 2</t>
        </is>
      </c>
      <c r="AO48" s="2" t="inlineStr">
        <is>
          <t>Yes</t>
        </is>
      </c>
      <c r="AP48" s="2" t="inlineStr">
        <is>
          <t>Pending</t>
        </is>
      </c>
      <c r="AQ48" s="2" t="inlineStr">
        <is>
          <t>Pending</t>
        </is>
      </c>
      <c r="AR48" s="2" t="n"/>
      <c r="AS48" s="2" t="n"/>
      <c r="AT48" s="2" t="n"/>
      <c r="AU48" s="2" t="n"/>
      <c r="AV48" s="2" t="n"/>
      <c r="AW48" s="2" t="inlineStr"/>
      <c r="AX48" s="2" t="inlineStr"/>
      <c r="AY48" s="2" t="inlineStr"/>
      <c r="AZ48" s="2" t="inlineStr"/>
      <c r="BA48" s="2">
        <f>IF(COUNTA(AS48:AZ48)=0,"",SUM(AS48:AZ48))</f>
        <v/>
      </c>
      <c r="BB48" s="2">
        <f>IF(BA48="","",IF(BA48&lt;=5,"Tier 1",IF(BA48&lt;=10,"Tier 2","Tier 3")))</f>
        <v/>
      </c>
      <c r="BC48" s="2" t="inlineStr"/>
      <c r="BD48" s="2" t="inlineStr"/>
      <c r="BE48" s="2">
        <f>IF(COUNTA(AX48:BE48)=0,"",SUM(AX48:BE48))</f>
        <v/>
      </c>
      <c r="BF48" s="2">
        <f>IF(BE48="","",IF(BE48&lt;=5,"Tier 1",IF(BE48&lt;=10,"Tier 2","Tier 3")))</f>
        <v/>
      </c>
      <c r="BG48" s="2" t="n"/>
      <c r="BH48" s="2" t="n"/>
      <c r="BI48" s="2" t="n"/>
      <c r="BJ48" s="2" t="n"/>
      <c r="BK48" s="2" t="n"/>
      <c r="BL48" s="2" t="inlineStr">
        <is>
          <t>No</t>
        </is>
      </c>
      <c r="BM48" s="2" t="n"/>
      <c r="BN48" s="2" t="inlineStr">
        <is>
          <t>No</t>
        </is>
      </c>
      <c r="BO48" s="2">
        <f>IF(COUNTA(C48,D48,F48,G48,H48,J48,L48,N48,O48,AG48,AH48,AI48,AJ48,AK48,AQ48,AR48)=16,"COMPLETE","INCOMPLETE")</f>
        <v/>
      </c>
      <c r="BP48" s="2" t="n"/>
    </row>
    <row r="49" ht="42" customHeight="1">
      <c r="A49" s="2" t="inlineStr">
        <is>
          <t>CHAB-048</t>
        </is>
      </c>
      <c r="B49" s="2" t="n">
        <v>2026</v>
      </c>
      <c r="C49" s="2" t="inlineStr">
        <is>
          <t>Guideline-Derived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inlineStr">
        <is>
          <t>Yes</t>
        </is>
      </c>
      <c r="AN49" s="2" t="inlineStr">
        <is>
          <t>Minimum 2</t>
        </is>
      </c>
      <c r="AO49" s="2" t="inlineStr">
        <is>
          <t>Yes</t>
        </is>
      </c>
      <c r="AP49" s="2" t="inlineStr">
        <is>
          <t>Pending</t>
        </is>
      </c>
      <c r="AQ49" s="2" t="inlineStr">
        <is>
          <t>Pending</t>
        </is>
      </c>
      <c r="AR49" s="2" t="n"/>
      <c r="AS49" s="2" t="n"/>
      <c r="AT49" s="2" t="n"/>
      <c r="AU49" s="2" t="n"/>
      <c r="AV49" s="2" t="n"/>
      <c r="AW49" s="2" t="inlineStr"/>
      <c r="AX49" s="2" t="inlineStr"/>
      <c r="AY49" s="2" t="inlineStr"/>
      <c r="AZ49" s="2" t="inlineStr"/>
      <c r="BA49" s="2">
        <f>IF(COUNTA(AS49:AZ49)=0,"",SUM(AS49:AZ49))</f>
        <v/>
      </c>
      <c r="BB49" s="2">
        <f>IF(BA49="","",IF(BA49&lt;=5,"Tier 1",IF(BA49&lt;=10,"Tier 2","Tier 3")))</f>
        <v/>
      </c>
      <c r="BC49" s="2" t="inlineStr"/>
      <c r="BD49" s="2" t="inlineStr"/>
      <c r="BE49" s="2">
        <f>IF(COUNTA(AX49:BE49)=0,"",SUM(AX49:BE49))</f>
        <v/>
      </c>
      <c r="BF49" s="2">
        <f>IF(BE49="","",IF(BE49&lt;=5,"Tier 1",IF(BE49&lt;=10,"Tier 2","Tier 3")))</f>
        <v/>
      </c>
      <c r="BG49" s="2" t="n"/>
      <c r="BH49" s="2" t="n"/>
      <c r="BI49" s="2" t="n"/>
      <c r="BJ49" s="2" t="n"/>
      <c r="BK49" s="2" t="n"/>
      <c r="BL49" s="2" t="inlineStr">
        <is>
          <t>No</t>
        </is>
      </c>
      <c r="BM49" s="2" t="n"/>
      <c r="BN49" s="2" t="inlineStr">
        <is>
          <t>No</t>
        </is>
      </c>
      <c r="BO49" s="2">
        <f>IF(COUNTA(C49,D49,F49,G49,H49,J49,L49,N49,O49,AG49,AH49,AI49,AJ49,AK49,AQ49,AR49)=16,"COMPLETE","INCOMPLETE")</f>
        <v/>
      </c>
      <c r="BP49" s="2" t="n"/>
    </row>
    <row r="50" ht="42" customHeight="1">
      <c r="A50" s="2" t="inlineStr">
        <is>
          <t>CHAB-049</t>
        </is>
      </c>
      <c r="B50" s="2" t="n">
        <v>2026</v>
      </c>
      <c r="C50" s="2" t="inlineStr">
        <is>
          <t>Guideline-Derived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inlineStr">
        <is>
          <t>Yes</t>
        </is>
      </c>
      <c r="AN50" s="2" t="inlineStr">
        <is>
          <t>Minimum 2</t>
        </is>
      </c>
      <c r="AO50" s="2" t="inlineStr">
        <is>
          <t>Yes</t>
        </is>
      </c>
      <c r="AP50" s="2" t="inlineStr">
        <is>
          <t>Pending</t>
        </is>
      </c>
      <c r="AQ50" s="2" t="inlineStr">
        <is>
          <t>Pending</t>
        </is>
      </c>
      <c r="AR50" s="2" t="n"/>
      <c r="AS50" s="2" t="n"/>
      <c r="AT50" s="2" t="n"/>
      <c r="AU50" s="2" t="n"/>
      <c r="AV50" s="2" t="n"/>
      <c r="AW50" s="2" t="inlineStr"/>
      <c r="AX50" s="2" t="inlineStr"/>
      <c r="AY50" s="2" t="inlineStr"/>
      <c r="AZ50" s="2" t="inlineStr"/>
      <c r="BA50" s="2">
        <f>IF(COUNTA(AS50:AZ50)=0,"",SUM(AS50:AZ50))</f>
        <v/>
      </c>
      <c r="BB50" s="2">
        <f>IF(BA50="","",IF(BA50&lt;=5,"Tier 1",IF(BA50&lt;=10,"Tier 2","Tier 3")))</f>
        <v/>
      </c>
      <c r="BC50" s="2" t="inlineStr"/>
      <c r="BD50" s="2" t="inlineStr"/>
      <c r="BE50" s="2">
        <f>IF(COUNTA(AX50:BE50)=0,"",SUM(AX50:BE50))</f>
        <v/>
      </c>
      <c r="BF50" s="2">
        <f>IF(BE50="","",IF(BE50&lt;=5,"Tier 1",IF(BE50&lt;=10,"Tier 2","Tier 3")))</f>
        <v/>
      </c>
      <c r="BG50" s="2" t="n"/>
      <c r="BH50" s="2" t="n"/>
      <c r="BI50" s="2" t="n"/>
      <c r="BJ50" s="2" t="n"/>
      <c r="BK50" s="2" t="n"/>
      <c r="BL50" s="2" t="inlineStr">
        <is>
          <t>No</t>
        </is>
      </c>
      <c r="BM50" s="2" t="n"/>
      <c r="BN50" s="2" t="inlineStr">
        <is>
          <t>No</t>
        </is>
      </c>
      <c r="BO50" s="2">
        <f>IF(COUNTA(C50,D50,F50,G50,H50,J50,L50,N50,O50,AG50,AH50,AI50,AJ50,AK50,AQ50,AR50)=16,"COMPLETE","INCOMPLETE")</f>
        <v/>
      </c>
      <c r="BP50" s="2" t="n"/>
    </row>
    <row r="51" ht="42" customHeight="1">
      <c r="A51" s="2" t="inlineStr">
        <is>
          <t>CHAB-050</t>
        </is>
      </c>
      <c r="B51" s="2" t="n">
        <v>2026</v>
      </c>
      <c r="C51" s="2" t="inlineStr">
        <is>
          <t>Guideline-Derived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inlineStr">
        <is>
          <t>Yes</t>
        </is>
      </c>
      <c r="AN51" s="2" t="inlineStr">
        <is>
          <t>Minimum 2</t>
        </is>
      </c>
      <c r="AO51" s="2" t="inlineStr">
        <is>
          <t>Yes</t>
        </is>
      </c>
      <c r="AP51" s="2" t="inlineStr">
        <is>
          <t>Pending</t>
        </is>
      </c>
      <c r="AQ51" s="2" t="inlineStr">
        <is>
          <t>Pending</t>
        </is>
      </c>
      <c r="AR51" s="2" t="n"/>
      <c r="AS51" s="2" t="n"/>
      <c r="AT51" s="2" t="n"/>
      <c r="AU51" s="2" t="n"/>
      <c r="AV51" s="2" t="n"/>
      <c r="AW51" s="2" t="inlineStr"/>
      <c r="AX51" s="2" t="inlineStr"/>
      <c r="AY51" s="2" t="inlineStr"/>
      <c r="AZ51" s="2" t="inlineStr"/>
      <c r="BA51" s="2">
        <f>IF(COUNTA(AS51:AZ51)=0,"",SUM(AS51:AZ51))</f>
        <v/>
      </c>
      <c r="BB51" s="2">
        <f>IF(BA51="","",IF(BA51&lt;=5,"Tier 1",IF(BA51&lt;=10,"Tier 2","Tier 3")))</f>
        <v/>
      </c>
      <c r="BC51" s="2" t="inlineStr"/>
      <c r="BD51" s="2" t="inlineStr"/>
      <c r="BE51" s="2">
        <f>IF(COUNTA(AX51:BE51)=0,"",SUM(AX51:BE51))</f>
        <v/>
      </c>
      <c r="BF51" s="2">
        <f>IF(BE51="","",IF(BE51&lt;=5,"Tier 1",IF(BE51&lt;=10,"Tier 2","Tier 3")))</f>
        <v/>
      </c>
      <c r="BG51" s="2" t="n"/>
      <c r="BH51" s="2" t="n"/>
      <c r="BI51" s="2" t="n"/>
      <c r="BJ51" s="2" t="n"/>
      <c r="BK51" s="2" t="n"/>
      <c r="BL51" s="2" t="inlineStr">
        <is>
          <t>No</t>
        </is>
      </c>
      <c r="BM51" s="2" t="n"/>
      <c r="BN51" s="2" t="inlineStr">
        <is>
          <t>No</t>
        </is>
      </c>
      <c r="BO51" s="2">
        <f>IF(COUNTA(C51,D51,F51,G51,H51,J51,L51,N51,O51,AG51,AH51,AI51,AJ51,AK51,AQ51,AR51)=16,"COMPLETE","INCOMPLETE")</f>
        <v/>
      </c>
      <c r="BP51" s="2" t="n"/>
    </row>
    <row r="52" ht="42" customHeight="1">
      <c r="A52" s="2" t="inlineStr">
        <is>
          <t>CHAB-051</t>
        </is>
      </c>
      <c r="B52" s="2" t="n">
        <v>2026</v>
      </c>
      <c r="C52" s="2" t="inlineStr">
        <is>
          <t>Guideline-Derived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inlineStr">
        <is>
          <t>Yes</t>
        </is>
      </c>
      <c r="AN52" s="2" t="inlineStr">
        <is>
          <t>Minimum 2</t>
        </is>
      </c>
      <c r="AO52" s="2" t="inlineStr">
        <is>
          <t>Yes</t>
        </is>
      </c>
      <c r="AP52" s="2" t="inlineStr">
        <is>
          <t>Pending</t>
        </is>
      </c>
      <c r="AQ52" s="2" t="inlineStr">
        <is>
          <t>Pending</t>
        </is>
      </c>
      <c r="AR52" s="2" t="n"/>
      <c r="AS52" s="2" t="n"/>
      <c r="AT52" s="2" t="n"/>
      <c r="AU52" s="2" t="n"/>
      <c r="AV52" s="2" t="n"/>
      <c r="AW52" s="2" t="inlineStr"/>
      <c r="AX52" s="2" t="inlineStr"/>
      <c r="AY52" s="2" t="inlineStr"/>
      <c r="AZ52" s="2" t="inlineStr"/>
      <c r="BA52" s="2">
        <f>IF(COUNTA(AS52:AZ52)=0,"",SUM(AS52:AZ52))</f>
        <v/>
      </c>
      <c r="BB52" s="2">
        <f>IF(BA52="","",IF(BA52&lt;=5,"Tier 1",IF(BA52&lt;=10,"Tier 2","Tier 3")))</f>
        <v/>
      </c>
      <c r="BC52" s="2" t="inlineStr"/>
      <c r="BD52" s="2" t="inlineStr"/>
      <c r="BE52" s="2">
        <f>IF(COUNTA(AX52:BE52)=0,"",SUM(AX52:BE52))</f>
        <v/>
      </c>
      <c r="BF52" s="2">
        <f>IF(BE52="","",IF(BE52&lt;=5,"Tier 1",IF(BE52&lt;=10,"Tier 2","Tier 3")))</f>
        <v/>
      </c>
      <c r="BG52" s="2" t="n"/>
      <c r="BH52" s="2" t="n"/>
      <c r="BI52" s="2" t="n"/>
      <c r="BJ52" s="2" t="n"/>
      <c r="BK52" s="2" t="n"/>
      <c r="BL52" s="2" t="inlineStr">
        <is>
          <t>No</t>
        </is>
      </c>
      <c r="BM52" s="2" t="n"/>
      <c r="BN52" s="2" t="inlineStr">
        <is>
          <t>No</t>
        </is>
      </c>
      <c r="BO52" s="2">
        <f>IF(COUNTA(C52,D52,F52,G52,H52,J52,L52,N52,O52,AG52,AH52,AI52,AJ52,AK52,AQ52,AR52)=16,"COMPLETE","INCOMPLETE")</f>
        <v/>
      </c>
      <c r="BP52" s="2" t="n"/>
    </row>
    <row r="53" ht="42" customHeight="1">
      <c r="A53" s="2" t="inlineStr">
        <is>
          <t>CHAB-052</t>
        </is>
      </c>
      <c r="B53" s="2" t="n">
        <v>2026</v>
      </c>
      <c r="C53" s="2" t="inlineStr">
        <is>
          <t>Guideline-Derived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inlineStr">
        <is>
          <t>Yes</t>
        </is>
      </c>
      <c r="AN53" s="2" t="inlineStr">
        <is>
          <t>Minimum 2</t>
        </is>
      </c>
      <c r="AO53" s="2" t="inlineStr">
        <is>
          <t>Yes</t>
        </is>
      </c>
      <c r="AP53" s="2" t="inlineStr">
        <is>
          <t>Pending</t>
        </is>
      </c>
      <c r="AQ53" s="2" t="inlineStr">
        <is>
          <t>Pending</t>
        </is>
      </c>
      <c r="AR53" s="2" t="n"/>
      <c r="AS53" s="2" t="n"/>
      <c r="AT53" s="2" t="n"/>
      <c r="AU53" s="2" t="n"/>
      <c r="AV53" s="2" t="n"/>
      <c r="AW53" s="2" t="inlineStr"/>
      <c r="AX53" s="2" t="inlineStr"/>
      <c r="AY53" s="2" t="inlineStr"/>
      <c r="AZ53" s="2" t="inlineStr"/>
      <c r="BA53" s="2">
        <f>IF(COUNTA(AS53:AZ53)=0,"",SUM(AS53:AZ53))</f>
        <v/>
      </c>
      <c r="BB53" s="2">
        <f>IF(BA53="","",IF(BA53&lt;=5,"Tier 1",IF(BA53&lt;=10,"Tier 2","Tier 3")))</f>
        <v/>
      </c>
      <c r="BC53" s="2" t="inlineStr"/>
      <c r="BD53" s="2" t="inlineStr"/>
      <c r="BE53" s="2">
        <f>IF(COUNTA(AX53:BE53)=0,"",SUM(AX53:BE53))</f>
        <v/>
      </c>
      <c r="BF53" s="2">
        <f>IF(BE53="","",IF(BE53&lt;=5,"Tier 1",IF(BE53&lt;=10,"Tier 2","Tier 3")))</f>
        <v/>
      </c>
      <c r="BG53" s="2" t="n"/>
      <c r="BH53" s="2" t="n"/>
      <c r="BI53" s="2" t="n"/>
      <c r="BJ53" s="2" t="n"/>
      <c r="BK53" s="2" t="n"/>
      <c r="BL53" s="2" t="inlineStr">
        <is>
          <t>No</t>
        </is>
      </c>
      <c r="BM53" s="2" t="n"/>
      <c r="BN53" s="2" t="inlineStr">
        <is>
          <t>No</t>
        </is>
      </c>
      <c r="BO53" s="2">
        <f>IF(COUNTA(C53,D53,F53,G53,H53,J53,L53,N53,O53,AG53,AH53,AI53,AJ53,AK53,AQ53,AR53)=16,"COMPLETE","INCOMPLETE")</f>
        <v/>
      </c>
      <c r="BP53" s="2" t="n"/>
    </row>
    <row r="54" ht="42" customHeight="1">
      <c r="A54" s="2" t="inlineStr">
        <is>
          <t>CHAB-053</t>
        </is>
      </c>
      <c r="B54" s="2" t="n">
        <v>2026</v>
      </c>
      <c r="C54" s="2" t="inlineStr">
        <is>
          <t>Guideline-Derived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inlineStr">
        <is>
          <t>Yes</t>
        </is>
      </c>
      <c r="AN54" s="2" t="inlineStr">
        <is>
          <t>Minimum 2</t>
        </is>
      </c>
      <c r="AO54" s="2" t="inlineStr">
        <is>
          <t>Yes</t>
        </is>
      </c>
      <c r="AP54" s="2" t="inlineStr">
        <is>
          <t>Pending</t>
        </is>
      </c>
      <c r="AQ54" s="2" t="inlineStr">
        <is>
          <t>Pending</t>
        </is>
      </c>
      <c r="AR54" s="2" t="n"/>
      <c r="AS54" s="2" t="n"/>
      <c r="AT54" s="2" t="n"/>
      <c r="AU54" s="2" t="n"/>
      <c r="AV54" s="2" t="n"/>
      <c r="AW54" s="2" t="inlineStr"/>
      <c r="AX54" s="2" t="inlineStr"/>
      <c r="AY54" s="2" t="inlineStr"/>
      <c r="AZ54" s="2" t="inlineStr"/>
      <c r="BA54" s="2">
        <f>IF(COUNTA(AS54:AZ54)=0,"",SUM(AS54:AZ54))</f>
        <v/>
      </c>
      <c r="BB54" s="2">
        <f>IF(BA54="","",IF(BA54&lt;=5,"Tier 1",IF(BA54&lt;=10,"Tier 2","Tier 3")))</f>
        <v/>
      </c>
      <c r="BC54" s="2" t="inlineStr"/>
      <c r="BD54" s="2" t="inlineStr"/>
      <c r="BE54" s="2">
        <f>IF(COUNTA(AX54:BE54)=0,"",SUM(AX54:BE54))</f>
        <v/>
      </c>
      <c r="BF54" s="2">
        <f>IF(BE54="","",IF(BE54&lt;=5,"Tier 1",IF(BE54&lt;=10,"Tier 2","Tier 3")))</f>
        <v/>
      </c>
      <c r="BG54" s="2" t="n"/>
      <c r="BH54" s="2" t="n"/>
      <c r="BI54" s="2" t="n"/>
      <c r="BJ54" s="2" t="n"/>
      <c r="BK54" s="2" t="n"/>
      <c r="BL54" s="2" t="inlineStr">
        <is>
          <t>No</t>
        </is>
      </c>
      <c r="BM54" s="2" t="n"/>
      <c r="BN54" s="2" t="inlineStr">
        <is>
          <t>No</t>
        </is>
      </c>
      <c r="BO54" s="2">
        <f>IF(COUNTA(C54,D54,F54,G54,H54,J54,L54,N54,O54,AG54,AH54,AI54,AJ54,AK54,AQ54,AR54)=16,"COMPLETE","INCOMPLETE")</f>
        <v/>
      </c>
      <c r="BP54" s="2" t="n"/>
    </row>
    <row r="55" ht="42" customHeight="1">
      <c r="A55" s="2" t="inlineStr">
        <is>
          <t>CHAB-054</t>
        </is>
      </c>
      <c r="B55" s="2" t="n">
        <v>2026</v>
      </c>
      <c r="C55" s="2" t="inlineStr">
        <is>
          <t>Guideline-Derived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inlineStr">
        <is>
          <t>Yes</t>
        </is>
      </c>
      <c r="AN55" s="2" t="inlineStr">
        <is>
          <t>Minimum 2</t>
        </is>
      </c>
      <c r="AO55" s="2" t="inlineStr">
        <is>
          <t>Yes</t>
        </is>
      </c>
      <c r="AP55" s="2" t="inlineStr">
        <is>
          <t>Pending</t>
        </is>
      </c>
      <c r="AQ55" s="2" t="inlineStr">
        <is>
          <t>Pending</t>
        </is>
      </c>
      <c r="AR55" s="2" t="n"/>
      <c r="AS55" s="2" t="n"/>
      <c r="AT55" s="2" t="n"/>
      <c r="AU55" s="2" t="n"/>
      <c r="AV55" s="2" t="n"/>
      <c r="AW55" s="2" t="inlineStr"/>
      <c r="AX55" s="2" t="inlineStr"/>
      <c r="AY55" s="2" t="inlineStr"/>
      <c r="AZ55" s="2" t="inlineStr"/>
      <c r="BA55" s="2">
        <f>IF(COUNTA(AS55:AZ55)=0,"",SUM(AS55:AZ55))</f>
        <v/>
      </c>
      <c r="BB55" s="2">
        <f>IF(BA55="","",IF(BA55&lt;=5,"Tier 1",IF(BA55&lt;=10,"Tier 2","Tier 3")))</f>
        <v/>
      </c>
      <c r="BC55" s="2" t="inlineStr"/>
      <c r="BD55" s="2" t="inlineStr"/>
      <c r="BE55" s="2">
        <f>IF(COUNTA(AX55:BE55)=0,"",SUM(AX55:BE55))</f>
        <v/>
      </c>
      <c r="BF55" s="2">
        <f>IF(BE55="","",IF(BE55&lt;=5,"Tier 1",IF(BE55&lt;=10,"Tier 2","Tier 3")))</f>
        <v/>
      </c>
      <c r="BG55" s="2" t="n"/>
      <c r="BH55" s="2" t="n"/>
      <c r="BI55" s="2" t="n"/>
      <c r="BJ55" s="2" t="n"/>
      <c r="BK55" s="2" t="n"/>
      <c r="BL55" s="2" t="inlineStr">
        <is>
          <t>No</t>
        </is>
      </c>
      <c r="BM55" s="2" t="n"/>
      <c r="BN55" s="2" t="inlineStr">
        <is>
          <t>No</t>
        </is>
      </c>
      <c r="BO55" s="2">
        <f>IF(COUNTA(C55,D55,F55,G55,H55,J55,L55,N55,O55,AG55,AH55,AI55,AJ55,AK55,AQ55,AR55)=16,"COMPLETE","INCOMPLETE")</f>
        <v/>
      </c>
      <c r="BP55" s="2" t="n"/>
    </row>
    <row r="56" ht="42" customHeight="1">
      <c r="A56" s="2" t="inlineStr">
        <is>
          <t>CHAB-055</t>
        </is>
      </c>
      <c r="B56" s="2" t="n">
        <v>2026</v>
      </c>
      <c r="C56" s="2" t="inlineStr">
        <is>
          <t>Guideline-Derived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inlineStr">
        <is>
          <t>Yes</t>
        </is>
      </c>
      <c r="AN56" s="2" t="inlineStr">
        <is>
          <t>Minimum 2</t>
        </is>
      </c>
      <c r="AO56" s="2" t="inlineStr">
        <is>
          <t>Yes</t>
        </is>
      </c>
      <c r="AP56" s="2" t="inlineStr">
        <is>
          <t>Pending</t>
        </is>
      </c>
      <c r="AQ56" s="2" t="inlineStr">
        <is>
          <t>Pending</t>
        </is>
      </c>
      <c r="AR56" s="2" t="n"/>
      <c r="AS56" s="2" t="n"/>
      <c r="AT56" s="2" t="n"/>
      <c r="AU56" s="2" t="n"/>
      <c r="AV56" s="2" t="n"/>
      <c r="AW56" s="2" t="inlineStr"/>
      <c r="AX56" s="2" t="inlineStr"/>
      <c r="AY56" s="2" t="inlineStr"/>
      <c r="AZ56" s="2" t="inlineStr"/>
      <c r="BA56" s="2">
        <f>IF(COUNTA(AS56:AZ56)=0,"",SUM(AS56:AZ56))</f>
        <v/>
      </c>
      <c r="BB56" s="2">
        <f>IF(BA56="","",IF(BA56&lt;=5,"Tier 1",IF(BA56&lt;=10,"Tier 2","Tier 3")))</f>
        <v/>
      </c>
      <c r="BC56" s="2" t="inlineStr"/>
      <c r="BD56" s="2" t="inlineStr"/>
      <c r="BE56" s="2">
        <f>IF(COUNTA(AX56:BE56)=0,"",SUM(AX56:BE56))</f>
        <v/>
      </c>
      <c r="BF56" s="2">
        <f>IF(BE56="","",IF(BE56&lt;=5,"Tier 1",IF(BE56&lt;=10,"Tier 2","Tier 3")))</f>
        <v/>
      </c>
      <c r="BG56" s="2" t="n"/>
      <c r="BH56" s="2" t="n"/>
      <c r="BI56" s="2" t="n"/>
      <c r="BJ56" s="2" t="n"/>
      <c r="BK56" s="2" t="n"/>
      <c r="BL56" s="2" t="inlineStr">
        <is>
          <t>No</t>
        </is>
      </c>
      <c r="BM56" s="2" t="n"/>
      <c r="BN56" s="2" t="inlineStr">
        <is>
          <t>No</t>
        </is>
      </c>
      <c r="BO56" s="2">
        <f>IF(COUNTA(C56,D56,F56,G56,H56,J56,L56,N56,O56,AG56,AH56,AI56,AJ56,AK56,AQ56,AR56)=16,"COMPLETE","INCOMPLETE")</f>
        <v/>
      </c>
      <c r="BP56" s="2" t="n"/>
    </row>
    <row r="57" ht="42" customHeight="1">
      <c r="A57" s="2" t="inlineStr">
        <is>
          <t>CHAB-056</t>
        </is>
      </c>
      <c r="B57" s="2" t="n">
        <v>2026</v>
      </c>
      <c r="C57" s="2" t="inlineStr">
        <is>
          <t>Guideline-Derived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inlineStr">
        <is>
          <t>Yes</t>
        </is>
      </c>
      <c r="AN57" s="2" t="inlineStr">
        <is>
          <t>Minimum 2</t>
        </is>
      </c>
      <c r="AO57" s="2" t="inlineStr">
        <is>
          <t>Yes</t>
        </is>
      </c>
      <c r="AP57" s="2" t="inlineStr">
        <is>
          <t>Pending</t>
        </is>
      </c>
      <c r="AQ57" s="2" t="inlineStr">
        <is>
          <t>Pending</t>
        </is>
      </c>
      <c r="AR57" s="2" t="n"/>
      <c r="AS57" s="2" t="n"/>
      <c r="AT57" s="2" t="n"/>
      <c r="AU57" s="2" t="n"/>
      <c r="AV57" s="2" t="n"/>
      <c r="AW57" s="2" t="inlineStr"/>
      <c r="AX57" s="2" t="inlineStr"/>
      <c r="AY57" s="2" t="inlineStr"/>
      <c r="AZ57" s="2" t="inlineStr"/>
      <c r="BA57" s="2">
        <f>IF(COUNTA(AS57:AZ57)=0,"",SUM(AS57:AZ57))</f>
        <v/>
      </c>
      <c r="BB57" s="2">
        <f>IF(BA57="","",IF(BA57&lt;=5,"Tier 1",IF(BA57&lt;=10,"Tier 2","Tier 3")))</f>
        <v/>
      </c>
      <c r="BC57" s="2" t="inlineStr"/>
      <c r="BD57" s="2" t="inlineStr"/>
      <c r="BE57" s="2">
        <f>IF(COUNTA(AX57:BE57)=0,"",SUM(AX57:BE57))</f>
        <v/>
      </c>
      <c r="BF57" s="2">
        <f>IF(BE57="","",IF(BE57&lt;=5,"Tier 1",IF(BE57&lt;=10,"Tier 2","Tier 3")))</f>
        <v/>
      </c>
      <c r="BG57" s="2" t="n"/>
      <c r="BH57" s="2" t="n"/>
      <c r="BI57" s="2" t="n"/>
      <c r="BJ57" s="2" t="n"/>
      <c r="BK57" s="2" t="n"/>
      <c r="BL57" s="2" t="inlineStr">
        <is>
          <t>No</t>
        </is>
      </c>
      <c r="BM57" s="2" t="n"/>
      <c r="BN57" s="2" t="inlineStr">
        <is>
          <t>No</t>
        </is>
      </c>
      <c r="BO57" s="2">
        <f>IF(COUNTA(C57,D57,F57,G57,H57,J57,L57,N57,O57,AG57,AH57,AI57,AJ57,AK57,AQ57,AR57)=16,"COMPLETE","INCOMPLETE")</f>
        <v/>
      </c>
      <c r="BP57" s="2" t="n"/>
    </row>
  </sheetData>
  <autoFilter ref="A1:BP57"/>
  <conditionalFormatting sqref="BO2:BO57">
    <cfRule type="expression" priority="1" dxfId="0">
      <formula>BO2="INCOMPLETE"</formula>
    </cfRule>
    <cfRule type="expression" priority="2" dxfId="1">
      <formula>BO2="COMPLETE"</formula>
    </cfRule>
  </conditionalFormatting>
  <dataValidations count="40">
    <dataValidation sqref="C2:C57" showDropDown="0" showInputMessage="0" showErrorMessage="0" allowBlank="1" type="list">
      <formula1>"Guideline-Derived"</formula1>
    </dataValidation>
    <dataValidation sqref="F2:F57" showDropDown="0" showInputMessage="0" showErrorMessage="0" allowBlank="1" type="list">
      <formula1>"ESC,ACC,AHA,ACC-AHA,Other"</formula1>
    </dataValidation>
    <dataValidation sqref="M2:M57" showDropDown="0" showInputMessage="0" showErrorMessage="0" allowBlank="1" type="list">
      <formula1>"Acute,Chronic,Acute-on-Chronic"</formula1>
    </dataValidation>
    <dataValidation sqref="J2:J57" showDropDown="0" showInputMessage="0" showErrorMessage="0" allowBlank="1" type="list">
      <formula1>"Acute Coronary Syndromes,Heart Failure,Atrial Fibrillation and Supraventricular Arrhythmias,Ventricular Arrhythmias and Electrophysiology,Valvular Heart Disease,Cardiomyopathies,Congenital Heart Disease,Hypertension and Cardiovascular Prevention,Pulmonary Vascular Disease,Cardiovascular Emergencies"</formula1>
    </dataValidation>
    <dataValidation sqref="K2:K57" showDropDown="0" showInputMessage="0" showErrorMessage="0" allowBlank="1" type="list">
      <formula1>"Acute Coronary Syndromes,Heart Failure,Atrial Fibrillation and Supraventricular Arrhythmias,Ventricular Arrhythmias and Electrophysiology,Valvular Heart Disease,Cardiomyopathies,Congenital Heart Disease,Hypertension and Cardiovascular Prevention,Pulmonary Vascular Disease,Cardiovascular Emergencies"</formula1>
    </dataValidation>
    <dataValidation sqref="Q2:Q57" showDropDown="0" showInputMessage="0" showErrorMessage="0" allowBlank="1" type="list">
      <formula1>"Low,Moderate,High"</formula1>
    </dataValidation>
    <dataValidation sqref="R2:R57" showDropDown="0" showInputMessage="0" showErrorMessage="0" allowBlank="1" type="list">
      <formula1>"Low,Moderate,High"</formula1>
    </dataValidation>
    <dataValidation sqref="S2:S57" showDropDown="0" showInputMessage="0" showErrorMessage="0" allowBlank="1" type="list">
      <formula1>"Low,Moderate,High"</formula1>
    </dataValidation>
    <dataValidation sqref="T2:T57" showDropDown="0" showInputMessage="0" showErrorMessage="0" allowBlank="1" type="list">
      <formula1>"Low,Moderate,High"</formula1>
    </dataValidation>
    <dataValidation sqref="U2:U57" showDropDown="0" showInputMessage="0" showErrorMessage="0" allowBlank="1" type="list">
      <formula1>"Low,Moderate,High"</formula1>
    </dataValidation>
    <dataValidation sqref="V2:V57" showDropDown="0" showInputMessage="0" showErrorMessage="0" allowBlank="1" type="list">
      <formula1>"Low,Moderate,High"</formula1>
    </dataValidation>
    <dataValidation sqref="W2:W57" showDropDown="0" showInputMessage="0" showErrorMessage="0" allowBlank="1" type="list">
      <formula1>"Yes,No"</formula1>
    </dataValidation>
    <dataValidation sqref="X2:X57" showDropDown="0" showInputMessage="0" showErrorMessage="0" allowBlank="1" type="list">
      <formula1>"Yes,No"</formula1>
    </dataValidation>
    <dataValidation sqref="Y2:Y57" showDropDown="0" showInputMessage="0" showErrorMessage="0" allowBlank="1" type="list">
      <formula1>"Yes,No"</formula1>
    </dataValidation>
    <dataValidation sqref="Z2:Z57" showDropDown="0" showInputMessage="0" showErrorMessage="0" allowBlank="1" type="list">
      <formula1>"Yes,No"</formula1>
    </dataValidation>
    <dataValidation sqref="AA2:AA57" showDropDown="0" showInputMessage="0" showErrorMessage="0" allowBlank="1" type="list">
      <formula1>"Yes,No"</formula1>
    </dataValidation>
    <dataValidation sqref="AB2:AB57" showDropDown="0" showInputMessage="0" showErrorMessage="0" allowBlank="1" type="list">
      <formula1>"Yes,No"</formula1>
    </dataValidation>
    <dataValidation sqref="AC2:AC57" showDropDown="0" showInputMessage="0" showErrorMessage="0" allowBlank="1" type="list">
      <formula1>"Yes,No"</formula1>
    </dataValidation>
    <dataValidation sqref="AD2:AD57" showDropDown="0" showInputMessage="0" showErrorMessage="0" allowBlank="1" type="list">
      <formula1>"Yes,No"</formula1>
    </dataValidation>
    <dataValidation sqref="AG2:AG57" showDropDown="0" showInputMessage="0" showErrorMessage="0" allowBlank="1" type="list">
      <formula1>"Yes,No"</formula1>
    </dataValidation>
    <dataValidation sqref="AM2:AM57" showDropDown="0" showInputMessage="0" showErrorMessage="0" allowBlank="1" type="list">
      <formula1>"Yes,No"</formula1>
    </dataValidation>
    <dataValidation sqref="AO2:AO57" showDropDown="0" showInputMessage="0" showErrorMessage="0" allowBlank="1" type="list">
      <formula1>"Yes,No"</formula1>
    </dataValidation>
    <dataValidation sqref="BL2:BL57" showDropDown="0" showInputMessage="0" showErrorMessage="0" allowBlank="1" type="list">
      <formula1>"Yes,No"</formula1>
    </dataValidation>
    <dataValidation sqref="BN2:BN57" showDropDown="0" showInputMessage="0" showErrorMessage="0" allowBlank="1" type="list">
      <formula1>"Yes,No"</formula1>
    </dataValidation>
    <dataValidation sqref="AP2:AP57" showDropDown="0" showInputMessage="0" showErrorMessage="0" allowBlank="1" type="list">
      <formula1>"Include,Exclude,Pending"</formula1>
    </dataValidation>
    <dataValidation sqref="AQ2:AQ57" showDropDown="0" showInputMessage="0" showErrorMessage="0" allowBlank="1" type="list">
      <formula1>"Pending,Reviewed,Approved"</formula1>
    </dataValidation>
    <dataValidation sqref="BC2:BC57" showDropDown="0" showInputMessage="0" showErrorMessage="0" allowBlank="1" type="list">
      <formula1>",Tier 1,Tier 2,Tier 3"</formula1>
    </dataValidation>
    <dataValidation sqref="AS2:AS57" showDropDown="0" showInputMessage="0" showErrorMessage="0" allowBlank="1" type="whole" operator="between">
      <formula1>0</formula1>
      <formula2>2</formula2>
    </dataValidation>
    <dataValidation sqref="AT2:AT57" showDropDown="0" showInputMessage="0" showErrorMessage="0" allowBlank="1" type="whole" operator="between">
      <formula1>0</formula1>
      <formula2>2</formula2>
    </dataValidation>
    <dataValidation sqref="AU2:AU57" showDropDown="0" showInputMessage="0" showErrorMessage="0" allowBlank="1" type="whole" operator="between">
      <formula1>0</formula1>
      <formula2>2</formula2>
    </dataValidation>
    <dataValidation sqref="AV2:AV57" showDropDown="0" showInputMessage="0" showErrorMessage="0" allowBlank="1" type="whole" operator="between">
      <formula1>0</formula1>
      <formula2>2</formula2>
    </dataValidation>
    <dataValidation sqref="AW2:AW57" showDropDown="0" showInputMessage="0" showErrorMessage="0" allowBlank="1" type="whole" operator="between">
      <formula1>0</formula1>
      <formula2>2</formula2>
    </dataValidation>
    <dataValidation sqref="AX2:AX57" showDropDown="0" showInputMessage="0" showErrorMessage="0" allowBlank="1" type="whole" operator="between">
      <formula1>0</formula1>
      <formula2>2</formula2>
    </dataValidation>
    <dataValidation sqref="AY2:AY57" showDropDown="0" showInputMessage="0" showErrorMessage="0" allowBlank="1" type="whole" operator="between">
      <formula1>0</formula1>
      <formula2>2</formula2>
    </dataValidation>
    <dataValidation sqref="AZ2:AZ57" showDropDown="0" showInputMessage="0" showErrorMessage="0" allowBlank="1" type="whole" operator="between">
      <formula1>0</formula1>
      <formula2>2</formula2>
    </dataValidation>
    <dataValidation sqref="BE2:BE57" showDropDown="0" showInputMessage="0" showErrorMessage="0" allowBlank="1" type="list">
      <formula1>"Pending,Reviewed,Approved"</formula1>
    </dataValidation>
    <dataValidation sqref="BF2:BF57" showDropDown="0" showInputMessage="0" showErrorMessage="0" allowBlank="1" type="list">
      <formula1>"Pending,Reviewed,Approved"</formula1>
    </dataValidation>
    <dataValidation sqref="BG2:BG57" showDropDown="0" showInputMessage="0" showErrorMessage="0" allowBlank="1" type="list">
      <formula1>"Agree,Disagree,Pending"</formula1>
    </dataValidation>
    <dataValidation sqref="BH2:BH57" showDropDown="0" showInputMessage="0" showErrorMessage="0" allowBlank="1" type="list">
      <formula1>"Agree,Disagree,Pending"</formula1>
    </dataValidation>
    <dataValidation sqref="BI2:BI57" showDropDown="0" showInputMessage="0" showErrorMessage="0" allowBlank="1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CHAB-2026: Guideline-Derived Case Construction Protocol</t>
        </is>
      </c>
      <c r="B1" s="3" t="inlineStr"/>
    </row>
    <row r="2" ht="42" customHeight="1">
      <c r="A2" s="2" t="inlineStr">
        <is>
          <t>Purpose</t>
        </is>
      </c>
      <c r="B2" s="2" t="inlineStr">
        <is>
          <t>Construct and independently verify 56 original guideline-derived cardiology scenarios for the CHAB-2026 benchmark. Do not run AI evaluation during this stage.</t>
        </is>
      </c>
    </row>
    <row r="3" ht="42" customHeight="1">
      <c r="A3" s="2" t="inlineStr">
        <is>
          <t>Benchmark composition</t>
        </is>
      </c>
      <c r="B3" s="2" t="inlineStr">
        <is>
          <t>80 total cases: 56 guideline-derived (70%) + 24 published real-world cases (30%). This workbook covers the 56 guideline-derived cases only.</t>
        </is>
      </c>
    </row>
    <row r="4" ht="42" customHeight="1">
      <c r="A4" s="2" t="inlineStr">
        <is>
          <t>Difficulty target</t>
        </is>
      </c>
      <c r="B4" s="2" t="inlineStr">
        <is>
          <t>Tier 1 ≈ 32; Tier 2 ≈ 28; Tier 3 ≈ 20. These are prespecified targets, not quotas that justify artificial reassignment.</t>
        </is>
      </c>
    </row>
    <row r="5" ht="42" customHeight="1">
      <c r="A5" s="2" t="inlineStr">
        <is>
          <t>Tier 1</t>
        </is>
      </c>
      <c r="B5" s="2" t="inlineStr">
        <is>
          <t>Foundational: common, well-defined presentations; straightforward guideline application.</t>
        </is>
      </c>
    </row>
    <row r="6" ht="42" customHeight="1">
      <c r="A6" s="2" t="inlineStr">
        <is>
          <t>Tier 2</t>
        </is>
      </c>
      <c r="B6" s="2" t="inlineStr">
        <is>
          <t>Intermediate: multiple variables, differential diagnosis, competing management considerations, or guideline interpretation.</t>
        </is>
      </c>
    </row>
    <row r="7" ht="42" customHeight="1">
      <c r="A7" s="2" t="inlineStr">
        <is>
          <t>Tier 3</t>
        </is>
      </c>
      <c r="B7" s="2" t="inlineStr">
        <is>
          <t>Expert: rare/atypical, safety-critical, multi-step, high diagnostic uncertainty, or specialist escalation.</t>
        </is>
      </c>
    </row>
    <row r="8" ht="42" customHeight="1">
      <c r="A8" s="2" t="inlineStr">
        <is>
          <t>Case Complexity Index</t>
        </is>
      </c>
      <c r="B8" s="2" t="inlineStr">
        <is>
          <t>Eight domains scored 0–2: diagnostic complexity; management complexity; differential burden; guideline interpretation; multimodal burden; sequential decisions; safety criticality; emergency recognition. Total 0–16.</t>
        </is>
      </c>
    </row>
    <row r="9" ht="42" customHeight="1">
      <c r="A9" s="2" t="inlineStr">
        <is>
          <t>Preliminary tier</t>
        </is>
      </c>
      <c r="B9" s="2" t="inlineStr">
        <is>
          <t>0–5 = Tier 1; 6–10 = Tier 2; 11–16 = Tier 3. Expert override is permitted only with documented rationale.</t>
        </is>
      </c>
    </row>
    <row r="10" ht="42" customHeight="1">
      <c r="A10" s="2" t="inlineStr">
        <is>
          <t>Source hierarchy</t>
        </is>
      </c>
      <c r="B10" s="2" t="inlineStr">
        <is>
          <t>Prefer authoritative ESC and ACC/AHA guidelines; use official or primary sources whenever possible. Do not fabricate citations or recommendation classes.</t>
        </is>
      </c>
    </row>
    <row r="11" ht="42" customHeight="1">
      <c r="A11" s="2" t="inlineStr">
        <is>
          <t>Gold standard</t>
        </is>
      </c>
      <c r="B11" s="2" t="inlineStr">
        <is>
          <t>Must be established independently from the AI systems being evaluated. AI outputs must not influence the gold standard.</t>
        </is>
      </c>
    </row>
    <row r="12" ht="42" customHeight="1">
      <c r="A12" s="2" t="inlineStr">
        <is>
          <t>QC pipeline</t>
        </is>
      </c>
      <c r="B12" s="2" t="inlineStr">
        <is>
          <t>Pending → Reviewed → Approved. Independent clinical review by at least two cardiology-trained reviewers; disagreements are documented and adjudicated.</t>
        </is>
      </c>
    </row>
    <row r="13" ht="42" customHeight="1">
      <c r="A13" s="2" t="inlineStr">
        <is>
          <t>Benchmark freeze</t>
        </is>
      </c>
      <c r="B13" s="2" t="inlineStr">
        <is>
          <t>Do not freeze until all 56 guideline cases and later 24 published cases are complete, verified, adjudicated, and approved.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4" t="inlineStr">
        <is>
          <t>CHAB-2026 Guideline-Derived Case Construction Validation</t>
        </is>
      </c>
      <c r="B1" s="4" t="inlineStr"/>
      <c r="C1" s="4" t="n"/>
    </row>
    <row r="2">
      <c r="A2" s="5" t="inlineStr">
        <is>
          <t>Metric</t>
        </is>
      </c>
      <c r="B2" s="5" t="inlineStr">
        <is>
          <t>Value</t>
        </is>
      </c>
      <c r="C2" s="5" t="n"/>
    </row>
    <row r="3">
      <c r="A3" s="2" t="inlineStr">
        <is>
          <t>Guideline-derived cases (target 56)</t>
        </is>
      </c>
      <c r="B3" s="2">
        <f>COUNTIF('CHAB-2026_Cases'!C2:C57,"Guideline-Derived")</f>
        <v/>
      </c>
      <c r="C3" s="2" t="n"/>
    </row>
    <row r="4">
      <c r="A4" s="2" t="inlineStr">
        <is>
          <t>Unique Case IDs (target 56)</t>
        </is>
      </c>
      <c r="B4" s="2">
        <f>SUMPRODUCT(--(COUNTIF('CHAB-2026_Cases'!A2:A57,'CHAB-2026_Cases'!A2:A57)=1))</f>
        <v/>
      </c>
      <c r="C4" s="2" t="n"/>
    </row>
    <row r="5">
      <c r="A5" s="2" t="inlineStr">
        <is>
          <t>Cases with verified source citation</t>
        </is>
      </c>
      <c r="B5" s="2">
        <f>COUNTIF('CHAB-2026_Cases'!D2:D57,"&lt;&gt;")</f>
        <v/>
      </c>
      <c r="C5" s="2" t="n"/>
    </row>
    <row r="6">
      <c r="A6" s="2" t="inlineStr">
        <is>
          <t>Cases with gold standard</t>
        </is>
      </c>
      <c r="B6" s="2">
        <f>COUNTIF('CHAB-2026_Cases'!AG2:AG57,"Yes")</f>
        <v/>
      </c>
      <c r="C6" s="2" t="n"/>
    </row>
    <row r="7">
      <c r="A7" s="2" t="inlineStr">
        <is>
          <t>Cases Included</t>
        </is>
      </c>
      <c r="B7" s="2">
        <f>COUNTIF('CHAB-2026_Cases'!AP2:AP57,"Include")</f>
        <v/>
      </c>
      <c r="C7" s="2" t="n"/>
    </row>
    <row r="8">
      <c r="A8" s="2" t="inlineStr">
        <is>
          <t>Cases Approved</t>
        </is>
      </c>
      <c r="B8" s="2">
        <f>COUNTIF('CHAB-2026_Cases'!AQ2:AQ57,"Approved")</f>
        <v/>
      </c>
      <c r="C8" s="2" t="n"/>
    </row>
    <row r="9">
      <c r="A9" s="2" t="inlineStr">
        <is>
          <t>Cases Reviewed</t>
        </is>
      </c>
      <c r="B9" s="2">
        <f>COUNTIF('CHAB-2026_Cases'!AQ2:AQ57,"Reviewed")</f>
        <v/>
      </c>
      <c r="C9" s="2" t="n"/>
    </row>
    <row r="10">
      <c r="A10" s="2" t="inlineStr">
        <is>
          <t>Cases Incomplete</t>
        </is>
      </c>
      <c r="B10" s="2">
        <f>COUNTIF('CHAB-2026_Cases'!BO2:BO57,"INCOMPLETE")</f>
        <v/>
      </c>
      <c r="C10" s="2" t="n"/>
    </row>
    <row r="11">
      <c r="A11" s="2" t="inlineStr"/>
      <c r="B11" s="2" t="inlineStr"/>
      <c r="C11" s="2" t="n"/>
    </row>
    <row r="12">
      <c r="A12" s="5" t="inlineStr">
        <is>
          <t>Preliminary tier</t>
        </is>
      </c>
      <c r="B12" s="5" t="inlineStr">
        <is>
          <t>Count</t>
        </is>
      </c>
      <c r="C12" s="5" t="n"/>
    </row>
    <row r="13">
      <c r="A13" s="2" t="inlineStr">
        <is>
          <t>Tier 1</t>
        </is>
      </c>
      <c r="B13" s="2">
        <f>COUNTIF('CHAB-2026_Cases'!BF2:BF57,"Tier 1")</f>
        <v/>
      </c>
      <c r="C13" s="2" t="n"/>
    </row>
    <row r="14">
      <c r="A14" s="2" t="inlineStr">
        <is>
          <t>Tier 2</t>
        </is>
      </c>
      <c r="B14" s="2">
        <f>COUNTIF('CHAB-2026_Cases'!BF2:BF57,"Tier 2")</f>
        <v/>
      </c>
      <c r="C14" s="2" t="n"/>
    </row>
    <row r="15">
      <c r="A15" s="2" t="inlineStr">
        <is>
          <t>Tier 3</t>
        </is>
      </c>
      <c r="B15" s="2">
        <f>COUNTIF('CHAB-2026_Cases'!BF2:BF57,"Tier 3")</f>
        <v/>
      </c>
      <c r="C15" s="2" t="n"/>
    </row>
    <row r="16">
      <c r="A16" s="2" t="inlineStr"/>
      <c r="B16" s="2" t="inlineStr"/>
      <c r="C16" s="2" t="n"/>
    </row>
    <row r="17">
      <c r="A17" s="5" t="inlineStr">
        <is>
          <t>Primary disease domain</t>
        </is>
      </c>
      <c r="B17" s="5" t="inlineStr">
        <is>
          <t>Count</t>
        </is>
      </c>
      <c r="C17" s="5" t="inlineStr">
        <is>
          <t>Percent</t>
        </is>
      </c>
    </row>
    <row r="18">
      <c r="A18" s="2" t="inlineStr">
        <is>
          <t>Acute Coronary Syndromes</t>
        </is>
      </c>
      <c r="B18" s="2">
        <f>COUNTIF('CHAB-2026_Cases'!J2:J57,"Acute Coronary Syndromes")</f>
        <v/>
      </c>
      <c r="C18" s="2">
        <f>IF(B18=0,0,B18/56)</f>
        <v/>
      </c>
    </row>
    <row r="19">
      <c r="A19" s="2" t="inlineStr">
        <is>
          <t>Heart Failure</t>
        </is>
      </c>
      <c r="B19" s="2">
        <f>COUNTIF('CHAB-2026_Cases'!J2:J57,"Heart Failure")</f>
        <v/>
      </c>
      <c r="C19" s="2">
        <f>IF(B19=0,0,B19/56)</f>
        <v/>
      </c>
    </row>
    <row r="20">
      <c r="A20" s="2" t="inlineStr">
        <is>
          <t>Atrial Fibrillation and Supraventricular Arrhythmias</t>
        </is>
      </c>
      <c r="B20" s="2">
        <f>COUNTIF('CHAB-2026_Cases'!J2:J57,"Atrial Fibrillation and Supraventricular Arrhythmias")</f>
        <v/>
      </c>
      <c r="C20" s="2">
        <f>IF(B20=0,0,B20/56)</f>
        <v/>
      </c>
    </row>
    <row r="21">
      <c r="A21" s="2" t="inlineStr">
        <is>
          <t>Ventricular Arrhythmias and Electrophysiology</t>
        </is>
      </c>
      <c r="B21" s="2">
        <f>COUNTIF('CHAB-2026_Cases'!J2:J57,"Ventricular Arrhythmias and Electrophysiology")</f>
        <v/>
      </c>
      <c r="C21" s="2">
        <f>IF(B21=0,0,B21/56)</f>
        <v/>
      </c>
    </row>
    <row r="22">
      <c r="A22" s="2" t="inlineStr">
        <is>
          <t>Valvular Heart Disease</t>
        </is>
      </c>
      <c r="B22" s="2">
        <f>COUNTIF('CHAB-2026_Cases'!J2:J57,"Valvular Heart Disease")</f>
        <v/>
      </c>
      <c r="C22" s="2">
        <f>IF(B22=0,0,B22/56)</f>
        <v/>
      </c>
    </row>
    <row r="23">
      <c r="A23" s="2" t="inlineStr">
        <is>
          <t>Cardiomyopathies</t>
        </is>
      </c>
      <c r="B23" s="2">
        <f>COUNTIF('CHAB-2026_Cases'!J2:J57,"Cardiomyopathies")</f>
        <v/>
      </c>
      <c r="C23" s="2">
        <f>IF(B23=0,0,B23/56)</f>
        <v/>
      </c>
    </row>
    <row r="24">
      <c r="A24" s="2" t="inlineStr">
        <is>
          <t>Congenital Heart Disease</t>
        </is>
      </c>
      <c r="B24" s="2">
        <f>COUNTIF('CHAB-2026_Cases'!J2:J57,"Congenital Heart Disease")</f>
        <v/>
      </c>
      <c r="C24" s="2">
        <f>IF(B24=0,0,B24/56)</f>
        <v/>
      </c>
    </row>
    <row r="25">
      <c r="A25" s="2" t="inlineStr">
        <is>
          <t>Hypertension and Cardiovascular Prevention</t>
        </is>
      </c>
      <c r="B25" s="2">
        <f>COUNTIF('CHAB-2026_Cases'!J2:J57,"Hypertension and Cardiovascular Prevention")</f>
        <v/>
      </c>
      <c r="C25" s="2">
        <f>IF(B25=0,0,B25/56)</f>
        <v/>
      </c>
    </row>
    <row r="26">
      <c r="A26" s="2" t="inlineStr">
        <is>
          <t>Pulmonary Vascular Disease</t>
        </is>
      </c>
      <c r="B26" s="2">
        <f>COUNTIF('CHAB-2026_Cases'!J2:J57,"Pulmonary Vascular Disease")</f>
        <v/>
      </c>
      <c r="C26" s="2">
        <f>IF(B26=0,0,B26/56)</f>
        <v/>
      </c>
    </row>
    <row r="27">
      <c r="A27" s="2" t="inlineStr">
        <is>
          <t>Cardiovascular Emergencies</t>
        </is>
      </c>
      <c r="B27" s="2">
        <f>COUNTIF('CHAB-2026_Cases'!J2:J57,"Cardiovascular Emergencies")</f>
        <v/>
      </c>
      <c r="C27" s="2">
        <f>IF(B27=0,0,B27/56)</f>
        <v/>
      </c>
    </row>
    <row r="28">
      <c r="A28" s="2" t="inlineStr"/>
      <c r="B28" s="2" t="inlineStr"/>
      <c r="C28" s="2" t="inlineStr"/>
    </row>
    <row r="29">
      <c r="A29" s="5" t="inlineStr">
        <is>
          <t>QC status</t>
        </is>
      </c>
      <c r="B29" s="5" t="inlineStr">
        <is>
          <t>Count</t>
        </is>
      </c>
      <c r="C29" s="5" t="n"/>
    </row>
    <row r="30">
      <c r="A30" s="2" t="inlineStr">
        <is>
          <t>Pending</t>
        </is>
      </c>
      <c r="B30" s="2">
        <f>COUNTIF('CHAB-2026_Cases'!AQ2:AQ57,"Pending")</f>
        <v/>
      </c>
      <c r="C30" s="2" t="n"/>
    </row>
    <row r="31">
      <c r="A31" s="2" t="inlineStr">
        <is>
          <t>Reviewed</t>
        </is>
      </c>
      <c r="B31" s="2">
        <f>COUNTIF('CHAB-2026_Cases'!AQ2:AQ57,"Reviewed")</f>
        <v/>
      </c>
      <c r="C31" s="2" t="n"/>
    </row>
    <row r="32">
      <c r="A32" s="2" t="inlineStr">
        <is>
          <t>Approved</t>
        </is>
      </c>
      <c r="B32" s="2">
        <f>COUNTIF('CHAB-2026_Cases'!AQ2:AQ57,"Approved")</f>
        <v/>
      </c>
      <c r="C32" s="2" t="n"/>
    </row>
    <row r="33">
      <c r="A33" t="inlineStr"/>
      <c r="B33" t="inlineStr"/>
    </row>
    <row r="34">
      <c r="A34" t="inlineStr">
        <is>
          <t>Important methodological note</t>
        </is>
      </c>
      <c r="B34" t="inlineStr">
        <is>
          <t>This workbook intentionally contains no fabricated clinical cases, guideline citations, expert scores, or AI results. Populate and independently verify the 56 guideline-derived cases first; construct the 24 published cases separately; freeze the complete 80-case benchmark before AI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2026-08-14T22:13:43Z</dcterms:created>
  <dcterms:modified xmlns:dcterms="http://purl.org/dc/terms/" xmlns:xsi="http://www.w3.org/2001/XMLSchema-instance" xsi:type="dcterms:W3CDTF">2026-08-14T22:13:43Z</dcterms:modified>
</cp:coreProperties>
</file>